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  <definedNames>
    <definedName name="_xlnm._FilterDatabase" localSheetId="0">'Checklist'!A5:N44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customWidth="1" width="5.83203125"/>
    <col min="2" max="2" customWidth="1" width="24.83203125"/>
    <col min="3" max="3" customWidth="1" width="42.83203125"/>
    <col min="4" max="4" customWidth="1" width="44.83203125"/>
    <col min="5" max="5" customWidth="1" width="9.83203125"/>
    <col min="6" max="6" customWidth="1" width="9.83203125"/>
    <col min="7" max="7" customWidth="1" width="12.83203125"/>
    <col min="8" max="8" customWidth="1" width="14.83203125"/>
    <col min="9" max="9" customWidth="1" width="14.83203125"/>
    <col min="10" max="10" customWidth="1" width="24.83203125"/>
    <col min="11" max="11" customWidth="1" width="12.83203125"/>
    <col min="12" max="12" customWidth="1" width="10.83203125"/>
    <col min="13" max="13" customWidth="1" width="14.83203125"/>
    <col min="14" max="14" customWidth="1" width="30.83203125"/>
  </cols>
  <sheetData>
    <row r="1" ht="30" customHeight="1">
      <c r="A1" s="3" t="str">
        <v>WIX SEO POWER CHECKLIST</v>
      </c>
    </row>
    <row r="2" ht="24" customHeight="1">
      <c r="A2" s="4" t="str">
        <v>Use this as your execution command center. Focus on P0 and P1 actions first, then stack wins weekly. Status options: Not started | In progress | Blocked | Done.</v>
      </c>
    </row>
    <row r="5" ht="24" customHeight="1">
      <c r="A5" s="5" t="str">
        <v>#</v>
      </c>
      <c r="B5" s="5" t="str">
        <v>Pillar</v>
      </c>
      <c r="C5" s="5" t="str">
        <v>Action</v>
      </c>
      <c r="D5" s="5" t="str">
        <v>Why this matters</v>
      </c>
      <c r="E5" s="5" t="str">
        <v>Priority</v>
      </c>
      <c r="F5" s="5" t="str">
        <v>Effort</v>
      </c>
      <c r="G5" s="5" t="str">
        <v>Frequency</v>
      </c>
      <c r="H5" s="5" t="str">
        <v>Owner</v>
      </c>
      <c r="I5" s="5" t="str">
        <v>Status</v>
      </c>
      <c r="J5" s="5" t="str">
        <v>KPI target</v>
      </c>
      <c r="K5" s="5" t="str">
        <v>Weight</v>
      </c>
      <c r="L5" s="5" t="str">
        <v>Done?</v>
      </c>
      <c r="M5" s="5" t="str">
        <v>Points</v>
      </c>
      <c r="N5" s="5" t="str">
        <v>Notes</v>
      </c>
    </row>
    <row r="6">
      <c r="A6" s="6" t="str">
        <v/>
      </c>
      <c r="B6" s="7" t="str">
        <v>FOUNDATION SECTION</v>
      </c>
    </row>
    <row r="7">
      <c r="A7" s="8">
        <v>1</v>
      </c>
      <c r="B7" s="8" t="str">
        <v>Foundation</v>
      </c>
      <c r="C7" s="8" t="str">
        <v>Set up GA4, Search Console, and Bing Webmaster Tools</v>
      </c>
      <c r="D7" s="8" t="str">
        <v>Baseline measurement is required before optimization.</v>
      </c>
      <c r="E7" s="9" t="str">
        <v>P0</v>
      </c>
      <c r="F7" s="8" t="str">
        <v>S</v>
      </c>
      <c r="G7" s="8" t="str">
        <v>Once</v>
      </c>
      <c r="H7" s="8" t="str">
        <v/>
      </c>
      <c r="I7" s="10" t="str">
        <v>Not started</v>
      </c>
      <c r="J7" s="8" t="str">
        <v>All tools connected</v>
      </c>
      <c r="K7" s="8">
        <v>8</v>
      </c>
      <c r="L7" s="8">
        <f>IF(I7="Done",1,0)</f>
        <v/>
      </c>
      <c r="M7" s="8">
        <f>L7*K7</f>
        <v/>
      </c>
      <c r="N7" s="8" t="str">
        <v/>
      </c>
    </row>
    <row r="8">
      <c r="A8" s="4">
        <v>2</v>
      </c>
      <c r="B8" s="4" t="str">
        <v>Foundation</v>
      </c>
      <c r="C8" s="4" t="str">
        <v>Submit Wix sitemap and validate coverage</v>
      </c>
      <c r="D8" s="4" t="str">
        <v>Speeds up discovery of new and updated pages.</v>
      </c>
      <c r="E8" s="9" t="str">
        <v>P0</v>
      </c>
      <c r="F8" s="4" t="str">
        <v>S</v>
      </c>
      <c r="G8" s="4" t="str">
        <v>Monthly</v>
      </c>
      <c r="H8" s="4" t="str">
        <v/>
      </c>
      <c r="I8" s="10" t="str">
        <v>Not started</v>
      </c>
      <c r="J8" s="4" t="str">
        <v>Coverage errors reduced</v>
      </c>
      <c r="K8" s="4">
        <v>7</v>
      </c>
      <c r="L8" s="4">
        <f>IF(I8="Done",1,0)</f>
        <v/>
      </c>
      <c r="M8" s="4">
        <f>L8*K8</f>
        <v/>
      </c>
      <c r="N8" s="4" t="str">
        <v/>
      </c>
    </row>
    <row r="9">
      <c r="A9" s="8">
        <v>3</v>
      </c>
      <c r="B9" s="8" t="str">
        <v>Foundation</v>
      </c>
      <c r="C9" s="8" t="str">
        <v>Complete Wix SEO Setup Checklist for core pages</v>
      </c>
      <c r="D9" s="8" t="str">
        <v>Covers baseline on-page settings quickly.</v>
      </c>
      <c r="E9" s="9" t="str">
        <v>P0</v>
      </c>
      <c r="F9" s="8" t="str">
        <v>S</v>
      </c>
      <c r="G9" s="8" t="str">
        <v>Once</v>
      </c>
      <c r="H9" s="8" t="str">
        <v/>
      </c>
      <c r="I9" s="10" t="str">
        <v>Not started</v>
      </c>
      <c r="J9" s="8" t="str">
        <v>Checklist 100%</v>
      </c>
      <c r="K9" s="8">
        <v>7</v>
      </c>
      <c r="L9" s="8">
        <f>IF(I9="Done",1,0)</f>
        <v/>
      </c>
      <c r="M9" s="8">
        <f>L9*K9</f>
        <v/>
      </c>
      <c r="N9" s="8" t="str">
        <v/>
      </c>
    </row>
    <row r="10">
      <c r="A10" s="4">
        <v>4</v>
      </c>
      <c r="B10" s="4" t="str">
        <v>Foundation</v>
      </c>
      <c r="C10" s="4" t="str">
        <v>Map core keywords to homepage, services, and blog pages</v>
      </c>
      <c r="D10" s="4" t="str">
        <v>Avoids overlap and improves relevance targeting.</v>
      </c>
      <c r="E10" s="9" t="str">
        <v>P0</v>
      </c>
      <c r="F10" s="4" t="str">
        <v>M</v>
      </c>
      <c r="G10" s="4" t="str">
        <v>Quarterly</v>
      </c>
      <c r="H10" s="4" t="str">
        <v/>
      </c>
      <c r="I10" s="10" t="str">
        <v>Not started</v>
      </c>
      <c r="J10" s="4" t="str">
        <v>Keyword map complete</v>
      </c>
      <c r="K10" s="4">
        <v>8</v>
      </c>
      <c r="L10" s="4">
        <f>IF(I10="Done",1,0)</f>
        <v/>
      </c>
      <c r="M10" s="4">
        <f>L10*K10</f>
        <v/>
      </c>
      <c r="N10" s="4" t="str">
        <v/>
      </c>
    </row>
    <row r="11">
      <c r="A11" s="8">
        <v>5</v>
      </c>
      <c r="B11" s="8" t="str">
        <v>Foundation</v>
      </c>
      <c r="C11" s="8" t="str">
        <v>Define KPI dashboard for clicks, rankings, and leads/sales</v>
      </c>
      <c r="D11" s="8" t="str">
        <v>Keeps effort tied to business outcomes.</v>
      </c>
      <c r="E11" s="9" t="str">
        <v>P0</v>
      </c>
      <c r="F11" s="8" t="str">
        <v>S</v>
      </c>
      <c r="G11" s="8" t="str">
        <v>Once</v>
      </c>
      <c r="H11" s="8" t="str">
        <v/>
      </c>
      <c r="I11" s="10" t="str">
        <v>Not started</v>
      </c>
      <c r="J11" s="8" t="str">
        <v>KPI dashboard live</v>
      </c>
      <c r="K11" s="8">
        <v>8</v>
      </c>
      <c r="L11" s="8">
        <f>IF(I11="Done",1,0)</f>
        <v/>
      </c>
      <c r="M11" s="8">
        <f>L11*K11</f>
        <v/>
      </c>
      <c r="N11" s="8" t="str">
        <v/>
      </c>
    </row>
    <row r="12">
      <c r="A12" s="4">
        <v>6</v>
      </c>
      <c r="B12" s="4" t="str">
        <v>Foundation</v>
      </c>
      <c r="C12" s="4" t="str">
        <v>Benchmark top local and niche competitors in SERPs</v>
      </c>
      <c r="D12" s="4" t="str">
        <v>Reveals practical gaps to close faster.</v>
      </c>
      <c r="E12" s="11" t="str">
        <v>P1</v>
      </c>
      <c r="F12" s="4" t="str">
        <v>M</v>
      </c>
      <c r="G12" s="4" t="str">
        <v>Quarterly</v>
      </c>
      <c r="H12" s="4" t="str">
        <v/>
      </c>
      <c r="I12" s="10" t="str">
        <v>Not started</v>
      </c>
      <c r="J12" s="4" t="str">
        <v>Gap analysis updated</v>
      </c>
      <c r="K12" s="4">
        <v>6</v>
      </c>
      <c r="L12" s="4">
        <f>IF(I12="Done",1,0)</f>
        <v/>
      </c>
      <c r="M12" s="4">
        <f>L12*K12</f>
        <v/>
      </c>
      <c r="N12" s="4" t="str">
        <v/>
      </c>
    </row>
    <row r="13">
      <c r="A13" s="6" t="str">
        <v/>
      </c>
      <c r="B13" s="7" t="str">
        <v>TECHNICAL SECTION</v>
      </c>
    </row>
    <row r="14">
      <c r="A14" s="8">
        <v>7</v>
      </c>
      <c r="B14" s="8" t="str">
        <v>Technical</v>
      </c>
      <c r="C14" s="8" t="str">
        <v>Fix crawl errors and broken internal links in Wix pages</v>
      </c>
      <c r="D14" s="8" t="str">
        <v>Protects crawl efficiency and user trust.</v>
      </c>
      <c r="E14" s="9" t="str">
        <v>P0</v>
      </c>
      <c r="F14" s="8" t="str">
        <v>M</v>
      </c>
      <c r="G14" s="8" t="str">
        <v>Monthly</v>
      </c>
      <c r="H14" s="8" t="str">
        <v/>
      </c>
      <c r="I14" s="10" t="str">
        <v>Not started</v>
      </c>
      <c r="J14" s="8" t="str">
        <v>Broken links &lt; 1%</v>
      </c>
      <c r="K14" s="8">
        <v>9</v>
      </c>
      <c r="L14" s="8">
        <f>IF(I14="Done",1,0)</f>
        <v/>
      </c>
      <c r="M14" s="8">
        <f>L14*K14</f>
        <v/>
      </c>
      <c r="N14" s="8" t="str">
        <v/>
      </c>
    </row>
    <row r="15">
      <c r="A15" s="4">
        <v>8</v>
      </c>
      <c r="B15" s="4" t="str">
        <v>Technical</v>
      </c>
      <c r="C15" s="4" t="str">
        <v>Ensure clean URL slugs and no duplicate paths</v>
      </c>
      <c r="D15" s="4" t="str">
        <v>Improves topical clarity and crawl consistency.</v>
      </c>
      <c r="E15" s="9" t="str">
        <v>P0</v>
      </c>
      <c r="F15" s="4" t="str">
        <v>S</v>
      </c>
      <c r="G15" s="4" t="str">
        <v>Monthly</v>
      </c>
      <c r="H15" s="4" t="str">
        <v/>
      </c>
      <c r="I15" s="10" t="str">
        <v>Not started</v>
      </c>
      <c r="J15" s="4" t="str">
        <v>Slug hygiene maintained</v>
      </c>
      <c r="K15" s="4">
        <v>8</v>
      </c>
      <c r="L15" s="4">
        <f>IF(I15="Done",1,0)</f>
        <v/>
      </c>
      <c r="M15" s="4">
        <f>L15*K15</f>
        <v/>
      </c>
      <c r="N15" s="4" t="str">
        <v/>
      </c>
    </row>
    <row r="16">
      <c r="A16" s="8">
        <v>9</v>
      </c>
      <c r="B16" s="8" t="str">
        <v>Technical</v>
      </c>
      <c r="C16" s="8" t="str">
        <v>Set 301 redirects for changed or removed pages</v>
      </c>
      <c r="D16" s="8" t="str">
        <v>Preserves legacy authority and traffic.</v>
      </c>
      <c r="E16" s="9" t="str">
        <v>P0</v>
      </c>
      <c r="F16" s="8" t="str">
        <v>S</v>
      </c>
      <c r="G16" s="8" t="str">
        <v>Weekly</v>
      </c>
      <c r="H16" s="8" t="str">
        <v/>
      </c>
      <c r="I16" s="10" t="str">
        <v>Not started</v>
      </c>
      <c r="J16" s="8" t="str">
        <v>Redirect map current</v>
      </c>
      <c r="K16" s="8">
        <v>8</v>
      </c>
      <c r="L16" s="8">
        <f>IF(I16="Done",1,0)</f>
        <v/>
      </c>
      <c r="M16" s="8">
        <f>L16*K16</f>
        <v/>
      </c>
      <c r="N16" s="8" t="str">
        <v/>
      </c>
    </row>
    <row r="17">
      <c r="A17" s="4">
        <v>10</v>
      </c>
      <c r="B17" s="4" t="str">
        <v>Technical</v>
      </c>
      <c r="C17" s="4" t="str">
        <v>Audit mobile performance and page weight</v>
      </c>
      <c r="D17" s="4" t="str">
        <v>Mobile performance strongly affects rankings and UX.</v>
      </c>
      <c r="E17" s="9" t="str">
        <v>P0</v>
      </c>
      <c r="F17" s="4" t="str">
        <v>L</v>
      </c>
      <c r="G17" s="4" t="str">
        <v>Monthly</v>
      </c>
      <c r="H17" s="4" t="str">
        <v/>
      </c>
      <c r="I17" s="10" t="str">
        <v>Not started</v>
      </c>
      <c r="J17" s="4" t="str">
        <v>Mobile speed score up</v>
      </c>
      <c r="K17" s="4">
        <v>10</v>
      </c>
      <c r="L17" s="4">
        <f>IF(I17="Done",1,0)</f>
        <v/>
      </c>
      <c r="M17" s="4">
        <f>L17*K17</f>
        <v/>
      </c>
      <c r="N17" s="4" t="str">
        <v/>
      </c>
    </row>
    <row r="18">
      <c r="A18" s="8">
        <v>11</v>
      </c>
      <c r="B18" s="8" t="str">
        <v>Technical</v>
      </c>
      <c r="C18" s="8" t="str">
        <v>Compress images and avoid oversized hero assets</v>
      </c>
      <c r="D18" s="8" t="str">
        <v>Fast pages crawl better and convert better.</v>
      </c>
      <c r="E18" s="11" t="str">
        <v>P1</v>
      </c>
      <c r="F18" s="8" t="str">
        <v>M</v>
      </c>
      <c r="G18" s="8" t="str">
        <v>Monthly</v>
      </c>
      <c r="H18" s="8" t="str">
        <v/>
      </c>
      <c r="I18" s="10" t="str">
        <v>Not started</v>
      </c>
      <c r="J18" s="8" t="str">
        <v>Image payload reduced</v>
      </c>
      <c r="K18" s="8">
        <v>7</v>
      </c>
      <c r="L18" s="8">
        <f>IF(I18="Done",1,0)</f>
        <v/>
      </c>
      <c r="M18" s="8">
        <f>L18*K18</f>
        <v/>
      </c>
      <c r="N18" s="8" t="str">
        <v/>
      </c>
    </row>
    <row r="19">
      <c r="A19" s="4">
        <v>12</v>
      </c>
      <c r="B19" s="4" t="str">
        <v>Technical</v>
      </c>
      <c r="C19" s="4" t="str">
        <v>Validate structured data on key pages</v>
      </c>
      <c r="D19" s="4" t="str">
        <v>Supports richer snippets and better SERP visibility.</v>
      </c>
      <c r="E19" s="11" t="str">
        <v>P1</v>
      </c>
      <c r="F19" s="4" t="str">
        <v>M</v>
      </c>
      <c r="G19" s="4" t="str">
        <v>Monthly</v>
      </c>
      <c r="H19" s="4" t="str">
        <v/>
      </c>
      <c r="I19" s="10" t="str">
        <v>Not started</v>
      </c>
      <c r="J19" s="4" t="str">
        <v>Schema warnings = 0</v>
      </c>
      <c r="K19" s="4">
        <v>8</v>
      </c>
      <c r="L19" s="4">
        <f>IF(I19="Done",1,0)</f>
        <v/>
      </c>
      <c r="M19" s="4">
        <f>L19*K19</f>
        <v/>
      </c>
      <c r="N19" s="4" t="str">
        <v/>
      </c>
    </row>
    <row r="20">
      <c r="A20" s="8">
        <v>13</v>
      </c>
      <c r="B20" s="8" t="str">
        <v>Technical</v>
      </c>
      <c r="C20" s="8" t="str">
        <v>Check canonical and noindex settings on utility pages</v>
      </c>
      <c r="D20" s="8" t="str">
        <v>Prevents index clutter and duplicate signals.</v>
      </c>
      <c r="E20" s="11" t="str">
        <v>P1</v>
      </c>
      <c r="F20" s="8" t="str">
        <v>M</v>
      </c>
      <c r="G20" s="8" t="str">
        <v>Quarterly</v>
      </c>
      <c r="H20" s="8" t="str">
        <v/>
      </c>
      <c r="I20" s="10" t="str">
        <v>Not started</v>
      </c>
      <c r="J20" s="8" t="str">
        <v>Utility pages controlled</v>
      </c>
      <c r="K20" s="8">
        <v>7</v>
      </c>
      <c r="L20" s="8">
        <f>IF(I20="Done",1,0)</f>
        <v/>
      </c>
      <c r="M20" s="8">
        <f>L20*K20</f>
        <v/>
      </c>
      <c r="N20" s="8" t="str">
        <v/>
      </c>
    </row>
    <row r="21">
      <c r="A21" s="4">
        <v>14</v>
      </c>
      <c r="B21" s="4" t="str">
        <v>Technical</v>
      </c>
      <c r="C21" s="4" t="str">
        <v>Review multilingual/hreflang setup if using Wix Multilingual</v>
      </c>
      <c r="D21" s="4" t="str">
        <v>Improves international targeting accuracy.</v>
      </c>
      <c r="E21" s="11" t="str">
        <v>P1</v>
      </c>
      <c r="F21" s="4" t="str">
        <v>M</v>
      </c>
      <c r="G21" s="4" t="str">
        <v>Quarterly</v>
      </c>
      <c r="H21" s="4" t="str">
        <v/>
      </c>
      <c r="I21" s="10" t="str">
        <v>Not started</v>
      </c>
      <c r="J21" s="4" t="str">
        <v>Hreflang errors = 0</v>
      </c>
      <c r="K21" s="4">
        <v>7</v>
      </c>
      <c r="L21" s="4">
        <f>IF(I21="Done",1,0)</f>
        <v/>
      </c>
      <c r="M21" s="4">
        <f>L21*K21</f>
        <v/>
      </c>
      <c r="N21" s="4" t="str">
        <v/>
      </c>
    </row>
    <row r="22">
      <c r="A22" s="6" t="str">
        <v/>
      </c>
      <c r="B22" s="7" t="str">
        <v>ON-PAGE &amp; CONTENT SECTION</v>
      </c>
    </row>
    <row r="23">
      <c r="A23" s="8">
        <v>15</v>
      </c>
      <c r="B23" s="8" t="str">
        <v>On-Page &amp; Content</v>
      </c>
      <c r="C23" s="8" t="str">
        <v>Publish search-intent blogs tied to services or products</v>
      </c>
      <c r="D23" s="8" t="str">
        <v>Captures discovery traffic and guides conversion.</v>
      </c>
      <c r="E23" s="9" t="str">
        <v>P0</v>
      </c>
      <c r="F23" s="8" t="str">
        <v>M</v>
      </c>
      <c r="G23" s="8" t="str">
        <v>Weekly</v>
      </c>
      <c r="H23" s="8" t="str">
        <v/>
      </c>
      <c r="I23" s="10" t="str">
        <v>Not started</v>
      </c>
      <c r="J23" s="8" t="str">
        <v>New SEO blogs published</v>
      </c>
      <c r="K23" s="8">
        <v>9</v>
      </c>
      <c r="L23" s="8">
        <f>IF(I23="Done",1,0)</f>
        <v/>
      </c>
      <c r="M23" s="8">
        <f>L23*K23</f>
        <v/>
      </c>
      <c r="N23" s="8" t="str">
        <v/>
      </c>
    </row>
    <row r="24">
      <c r="A24" s="4">
        <v>16</v>
      </c>
      <c r="B24" s="4" t="str">
        <v>On-Page &amp; Content</v>
      </c>
      <c r="C24" s="4" t="str">
        <v>Optimize title tags with intent and location where relevant</v>
      </c>
      <c r="D24" s="4" t="str">
        <v>Improves ranking precision and click-through.</v>
      </c>
      <c r="E24" s="9" t="str">
        <v>P0</v>
      </c>
      <c r="F24" s="4" t="str">
        <v>S</v>
      </c>
      <c r="G24" s="4" t="str">
        <v>Weekly</v>
      </c>
      <c r="H24" s="4" t="str">
        <v/>
      </c>
      <c r="I24" s="10" t="str">
        <v>Not started</v>
      </c>
      <c r="J24" s="4" t="str">
        <v>CTR increase on target pages</v>
      </c>
      <c r="K24" s="4">
        <v>8</v>
      </c>
      <c r="L24" s="4">
        <f>IF(I24="Done",1,0)</f>
        <v/>
      </c>
      <c r="M24" s="4">
        <f>L24*K24</f>
        <v/>
      </c>
      <c r="N24" s="4" t="str">
        <v/>
      </c>
    </row>
    <row r="25">
      <c r="A25" s="8">
        <v>17</v>
      </c>
      <c r="B25" s="8" t="str">
        <v>On-Page &amp; Content</v>
      </c>
      <c r="C25" s="8" t="str">
        <v>Improve meta descriptions for stronger click incentive</v>
      </c>
      <c r="D25" s="8" t="str">
        <v>Increases visits without new rankings.</v>
      </c>
      <c r="E25" s="11" t="str">
        <v>P1</v>
      </c>
      <c r="F25" s="8" t="str">
        <v>S</v>
      </c>
      <c r="G25" s="8" t="str">
        <v>Weekly</v>
      </c>
      <c r="H25" s="8" t="str">
        <v/>
      </c>
      <c r="I25" s="10" t="str">
        <v>Not started</v>
      </c>
      <c r="J25" s="8" t="str">
        <v>Meta tests logged</v>
      </c>
      <c r="K25" s="8">
        <v>6</v>
      </c>
      <c r="L25" s="8">
        <f>IF(I25="Done",1,0)</f>
        <v/>
      </c>
      <c r="M25" s="8">
        <f>L25*K25</f>
        <v/>
      </c>
      <c r="N25" s="8" t="str">
        <v/>
      </c>
    </row>
    <row r="26">
      <c r="A26" s="4">
        <v>18</v>
      </c>
      <c r="B26" s="4" t="str">
        <v>On-Page &amp; Content</v>
      </c>
      <c r="C26" s="4" t="str">
        <v>Use consistent H1/H2 hierarchy on every indexed page</v>
      </c>
      <c r="D26" s="4" t="str">
        <v>Improves semantic clarity for crawlers.</v>
      </c>
      <c r="E26" s="11" t="str">
        <v>P1</v>
      </c>
      <c r="F26" s="4" t="str">
        <v>S</v>
      </c>
      <c r="G26" s="4" t="str">
        <v>Weekly</v>
      </c>
      <c r="H26" s="4" t="str">
        <v/>
      </c>
      <c r="I26" s="10" t="str">
        <v>Not started</v>
      </c>
      <c r="J26" s="4" t="str">
        <v>Heading compliance high</v>
      </c>
      <c r="K26" s="4">
        <v>6</v>
      </c>
      <c r="L26" s="4">
        <f>IF(I26="Done",1,0)</f>
        <v/>
      </c>
      <c r="M26" s="4">
        <f>L26*K26</f>
        <v/>
      </c>
      <c r="N26" s="4" t="str">
        <v/>
      </c>
    </row>
    <row r="27">
      <c r="A27" s="8">
        <v>19</v>
      </c>
      <c r="B27" s="8" t="str">
        <v>On-Page &amp; Content</v>
      </c>
      <c r="C27" s="8" t="str">
        <v>Add FAQs to key service, category, and conversion pages</v>
      </c>
      <c r="D27" s="8" t="str">
        <v>Expands long-tail relevance and user trust.</v>
      </c>
      <c r="E27" s="11" t="str">
        <v>P1</v>
      </c>
      <c r="F27" s="8" t="str">
        <v>M</v>
      </c>
      <c r="G27" s="8" t="str">
        <v>Monthly</v>
      </c>
      <c r="H27" s="8" t="str">
        <v/>
      </c>
      <c r="I27" s="10" t="str">
        <v>Not started</v>
      </c>
      <c r="J27" s="8" t="str">
        <v>FAQ-rich pages increase</v>
      </c>
      <c r="K27" s="8">
        <v>7</v>
      </c>
      <c r="L27" s="8">
        <f>IF(I27="Done",1,0)</f>
        <v/>
      </c>
      <c r="M27" s="8">
        <f>L27*K27</f>
        <v/>
      </c>
      <c r="N27" s="8" t="str">
        <v/>
      </c>
    </row>
    <row r="28">
      <c r="A28" s="4">
        <v>20</v>
      </c>
      <c r="B28" s="4" t="str">
        <v>On-Page &amp; Content</v>
      </c>
      <c r="C28" s="4" t="str">
        <v>Refresh stale pages with updated examples and stats</v>
      </c>
      <c r="D28" s="4" t="str">
        <v>Prevents ranking decay and improves freshness.</v>
      </c>
      <c r="E28" s="11" t="str">
        <v>P1</v>
      </c>
      <c r="F28" s="4" t="str">
        <v>M</v>
      </c>
      <c r="G28" s="4" t="str">
        <v>Monthly</v>
      </c>
      <c r="H28" s="4" t="str">
        <v/>
      </c>
      <c r="I28" s="10" t="str">
        <v>Not started</v>
      </c>
      <c r="J28" s="4" t="str">
        <v>Updated pages regain clicks</v>
      </c>
      <c r="K28" s="4">
        <v>7</v>
      </c>
      <c r="L28" s="4">
        <f>IF(I28="Done",1,0)</f>
        <v/>
      </c>
      <c r="M28" s="4">
        <f>L28*K28</f>
        <v/>
      </c>
      <c r="N28" s="4" t="str">
        <v/>
      </c>
    </row>
    <row r="29">
      <c r="A29" s="8">
        <v>21</v>
      </c>
      <c r="B29" s="8" t="str">
        <v>On-Page &amp; Content</v>
      </c>
      <c r="C29" s="8" t="str">
        <v>Link each new article to money pages and top guides</v>
      </c>
      <c r="D29" s="8" t="str">
        <v>Moves authority where revenue happens.</v>
      </c>
      <c r="E29" s="9" t="str">
        <v>P0</v>
      </c>
      <c r="F29" s="8" t="str">
        <v>S</v>
      </c>
      <c r="G29" s="8" t="str">
        <v>Always-on</v>
      </c>
      <c r="H29" s="8" t="str">
        <v/>
      </c>
      <c r="I29" s="10" t="str">
        <v>Not started</v>
      </c>
      <c r="J29" s="8" t="str">
        <v>Internal link depth improved</v>
      </c>
      <c r="K29" s="8">
        <v>9</v>
      </c>
      <c r="L29" s="8">
        <f>IF(I29="Done",1,0)</f>
        <v/>
      </c>
      <c r="M29" s="8">
        <f>L29*K29</f>
        <v/>
      </c>
      <c r="N29" s="8" t="str">
        <v/>
      </c>
    </row>
    <row r="30">
      <c r="A30" s="4">
        <v>22</v>
      </c>
      <c r="B30" s="4" t="str">
        <v>On-Page &amp; Content</v>
      </c>
      <c r="C30" s="4" t="str">
        <v>Build topical clusters around high-value themes</v>
      </c>
      <c r="D30" s="4" t="str">
        <v>Raises authority for competitive queries.</v>
      </c>
      <c r="E30" s="9" t="str">
        <v>P0</v>
      </c>
      <c r="F30" s="4" t="str">
        <v>L</v>
      </c>
      <c r="G30" s="4" t="str">
        <v>Quarterly</v>
      </c>
      <c r="H30" s="4" t="str">
        <v/>
      </c>
      <c r="I30" s="10" t="str">
        <v>Not started</v>
      </c>
      <c r="J30" s="4" t="str">
        <v>Cluster hubs launched</v>
      </c>
      <c r="K30" s="4">
        <v>9</v>
      </c>
      <c r="L30" s="4">
        <f>IF(I30="Done",1,0)</f>
        <v/>
      </c>
      <c r="M30" s="4">
        <f>L30*K30</f>
        <v/>
      </c>
      <c r="N30" s="4" t="str">
        <v/>
      </c>
    </row>
    <row r="31">
      <c r="A31" s="6" t="str">
        <v/>
      </c>
      <c r="B31" s="7" t="str">
        <v>WIX PAGE OPTIMIZATION SECTION</v>
      </c>
    </row>
    <row r="32">
      <c r="A32" s="8">
        <v>23</v>
      </c>
      <c r="B32" s="8" t="str">
        <v>Wix Page Optimization</v>
      </c>
      <c r="C32" s="8" t="str">
        <v>Tune homepage SEO title and first-screen message</v>
      </c>
      <c r="D32" s="8" t="str">
        <v>Homepage relevance influences broad brand queries.</v>
      </c>
      <c r="E32" s="9" t="str">
        <v>P0</v>
      </c>
      <c r="F32" s="8" t="str">
        <v>S</v>
      </c>
      <c r="G32" s="8" t="str">
        <v>Quarterly</v>
      </c>
      <c r="H32" s="8" t="str">
        <v/>
      </c>
      <c r="I32" s="10" t="str">
        <v>Not started</v>
      </c>
      <c r="J32" s="8" t="str">
        <v>Homepage CTR improved</v>
      </c>
      <c r="K32" s="8">
        <v>8</v>
      </c>
      <c r="L32" s="8">
        <f>IF(I32="Done",1,0)</f>
        <v/>
      </c>
      <c r="M32" s="8">
        <f>L32*K32</f>
        <v/>
      </c>
      <c r="N32" s="8" t="str">
        <v/>
      </c>
    </row>
    <row r="33">
      <c r="A33" s="4">
        <v>24</v>
      </c>
      <c r="B33" s="4" t="str">
        <v>Wix Page Optimization</v>
      </c>
      <c r="C33" s="4" t="str">
        <v>Enhance service/product pages with proof and schema</v>
      </c>
      <c r="D33" s="4" t="str">
        <v>Increases trust and conversion from organic sessions.</v>
      </c>
      <c r="E33" s="9" t="str">
        <v>P0</v>
      </c>
      <c r="F33" s="4" t="str">
        <v>M</v>
      </c>
      <c r="G33" s="4" t="str">
        <v>Monthly</v>
      </c>
      <c r="H33" s="4" t="str">
        <v/>
      </c>
      <c r="I33" s="10" t="str">
        <v>Not started</v>
      </c>
      <c r="J33" s="4" t="str">
        <v>Conversion rate lift</v>
      </c>
      <c r="K33" s="4">
        <v>9</v>
      </c>
      <c r="L33" s="4">
        <f>IF(I33="Done",1,0)</f>
        <v/>
      </c>
      <c r="M33" s="4">
        <f>L33*K33</f>
        <v/>
      </c>
      <c r="N33" s="4" t="str">
        <v/>
      </c>
    </row>
    <row r="34">
      <c r="A34" s="8">
        <v>25</v>
      </c>
      <c r="B34" s="8" t="str">
        <v>Wix Page Optimization</v>
      </c>
      <c r="C34" s="8" t="str">
        <v>Add image alt text and context to gallery/media sections</v>
      </c>
      <c r="D34" s="8" t="str">
        <v>Strengthens image search potential and accessibility.</v>
      </c>
      <c r="E34" s="11" t="str">
        <v>P1</v>
      </c>
      <c r="F34" s="8" t="str">
        <v>S</v>
      </c>
      <c r="G34" s="8" t="str">
        <v>Weekly</v>
      </c>
      <c r="H34" s="8" t="str">
        <v/>
      </c>
      <c r="I34" s="10" t="str">
        <v>Not started</v>
      </c>
      <c r="J34" s="8" t="str">
        <v>Alt text coverage &gt; 95%</v>
      </c>
      <c r="K34" s="8">
        <v>6</v>
      </c>
      <c r="L34" s="8">
        <f>IF(I34="Done",1,0)</f>
        <v/>
      </c>
      <c r="M34" s="8">
        <f>L34*K34</f>
        <v/>
      </c>
      <c r="N34" s="8" t="str">
        <v/>
      </c>
    </row>
    <row r="35">
      <c r="A35" s="4">
        <v>26</v>
      </c>
      <c r="B35" s="4" t="str">
        <v>Wix Page Optimization</v>
      </c>
      <c r="C35" s="4" t="str">
        <v>Standardize URL naming for blog and page taxonomy</v>
      </c>
      <c r="D35" s="4" t="str">
        <v>Cleaner architecture improves crawlability.</v>
      </c>
      <c r="E35" s="11" t="str">
        <v>P1</v>
      </c>
      <c r="F35" s="4" t="str">
        <v>S</v>
      </c>
      <c r="G35" s="4" t="str">
        <v>Quarterly</v>
      </c>
      <c r="H35" s="4" t="str">
        <v/>
      </c>
      <c r="I35" s="10" t="str">
        <v>Not started</v>
      </c>
      <c r="J35" s="4" t="str">
        <v>Taxonomy consistency maintained</v>
      </c>
      <c r="K35" s="4">
        <v>6</v>
      </c>
      <c r="L35" s="4">
        <f>IF(I35="Done",1,0)</f>
        <v/>
      </c>
      <c r="M35" s="4">
        <f>L35*K35</f>
        <v/>
      </c>
      <c r="N35" s="4" t="str">
        <v/>
      </c>
    </row>
    <row r="36">
      <c r="A36" s="8">
        <v>27</v>
      </c>
      <c r="B36" s="8" t="str">
        <v>Wix Page Optimization</v>
      </c>
      <c r="C36" s="8" t="str">
        <v>Review menu and footer link architecture</v>
      </c>
      <c r="D36" s="8" t="str">
        <v>Improves crawl paths to priority pages.</v>
      </c>
      <c r="E36" s="11" t="str">
        <v>P1</v>
      </c>
      <c r="F36" s="8" t="str">
        <v>M</v>
      </c>
      <c r="G36" s="8" t="str">
        <v>Monthly</v>
      </c>
      <c r="H36" s="8" t="str">
        <v/>
      </c>
      <c r="I36" s="10" t="str">
        <v>Not started</v>
      </c>
      <c r="J36" s="8" t="str">
        <v>Priority pages within 2 clicks</v>
      </c>
      <c r="K36" s="8">
        <v>7</v>
      </c>
      <c r="L36" s="8">
        <f>IF(I36="Done",1,0)</f>
        <v/>
      </c>
      <c r="M36" s="8">
        <f>L36*K36</f>
        <v/>
      </c>
      <c r="N36" s="8" t="str">
        <v/>
      </c>
    </row>
    <row r="37">
      <c r="A37" s="4">
        <v>28</v>
      </c>
      <c r="B37" s="4" t="str">
        <v>Wix Page Optimization</v>
      </c>
      <c r="C37" s="4" t="str">
        <v>Create conversion-focused landing pages for top intents</v>
      </c>
      <c r="D37" s="4" t="str">
        <v>Captures intent with stronger relevance and offer match.</v>
      </c>
      <c r="E37" s="9" t="str">
        <v>P0</v>
      </c>
      <c r="F37" s="4" t="str">
        <v>M</v>
      </c>
      <c r="G37" s="4" t="str">
        <v>Monthly</v>
      </c>
      <c r="H37" s="4" t="str">
        <v/>
      </c>
      <c r="I37" s="10" t="str">
        <v>Not started</v>
      </c>
      <c r="J37" s="4" t="str">
        <v>Landing page leads/sales up</v>
      </c>
      <c r="K37" s="4">
        <v>9</v>
      </c>
      <c r="L37" s="4">
        <f>IF(I37="Done",1,0)</f>
        <v/>
      </c>
      <c r="M37" s="4">
        <f>L37*K37</f>
        <v/>
      </c>
      <c r="N37" s="4" t="str">
        <v/>
      </c>
    </row>
    <row r="38">
      <c r="A38" s="8">
        <v>29</v>
      </c>
      <c r="B38" s="8" t="str">
        <v>Wix Page Optimization</v>
      </c>
      <c r="C38" s="8" t="str">
        <v>Use FAQ and comparison blocks on high-funnel pages</v>
      </c>
      <c r="D38" s="8" t="str">
        <v>Supports informational intent and pre-qualifies users.</v>
      </c>
      <c r="E38" s="12" t="str">
        <v>P2</v>
      </c>
      <c r="F38" s="8" t="str">
        <v>S</v>
      </c>
      <c r="G38" s="8" t="str">
        <v>Monthly</v>
      </c>
      <c r="H38" s="8" t="str">
        <v/>
      </c>
      <c r="I38" s="10" t="str">
        <v>Not started</v>
      </c>
      <c r="J38" s="8" t="str">
        <v>Engagement depth up</v>
      </c>
      <c r="K38" s="8">
        <v>5</v>
      </c>
      <c r="L38" s="8">
        <f>IF(I38="Done",1,0)</f>
        <v/>
      </c>
      <c r="M38" s="8">
        <f>L38*K38</f>
        <v/>
      </c>
      <c r="N38" s="8" t="str">
        <v/>
      </c>
    </row>
    <row r="39">
      <c r="A39" s="6" t="str">
        <v/>
      </c>
      <c r="B39" s="7" t="str">
        <v>AUTHORITY &amp; GROWTH SECTION</v>
      </c>
    </row>
    <row r="40">
      <c r="A40" s="4">
        <v>30</v>
      </c>
      <c r="B40" s="4" t="str">
        <v>Authority &amp; Growth</v>
      </c>
      <c r="C40" s="4" t="str">
        <v>Earn backlinks via partnerships, directories, and PR</v>
      </c>
      <c r="D40" s="4" t="str">
        <v>Authority growth compounds rankings.</v>
      </c>
      <c r="E40" s="9" t="str">
        <v>P0</v>
      </c>
      <c r="F40" s="4" t="str">
        <v>L</v>
      </c>
      <c r="G40" s="4" t="str">
        <v>Monthly</v>
      </c>
      <c r="H40" s="4" t="str">
        <v/>
      </c>
      <c r="I40" s="10" t="str">
        <v>Not started</v>
      </c>
      <c r="J40" s="4" t="str">
        <v>Referring domains up</v>
      </c>
      <c r="K40" s="4">
        <v>10</v>
      </c>
      <c r="L40" s="4">
        <f>IF(I40="Done",1,0)</f>
        <v/>
      </c>
      <c r="M40" s="4">
        <f>L40*K40</f>
        <v/>
      </c>
      <c r="N40" s="4" t="str">
        <v/>
      </c>
    </row>
    <row r="41">
      <c r="A41" s="8">
        <v>31</v>
      </c>
      <c r="B41" s="8" t="str">
        <v>Authority &amp; Growth</v>
      </c>
      <c r="C41" s="8" t="str">
        <v>Repurpose top content to social and email</v>
      </c>
      <c r="D41" s="8" t="str">
        <v>Expands reach and sends engagement signals.</v>
      </c>
      <c r="E41" s="11" t="str">
        <v>P1</v>
      </c>
      <c r="F41" s="8" t="str">
        <v>M</v>
      </c>
      <c r="G41" s="8" t="str">
        <v>Weekly</v>
      </c>
      <c r="H41" s="8" t="str">
        <v/>
      </c>
      <c r="I41" s="10" t="str">
        <v>Not started</v>
      </c>
      <c r="J41" s="8" t="str">
        <v>Referral traffic trend up</v>
      </c>
      <c r="K41" s="8">
        <v>6</v>
      </c>
      <c r="L41" s="8">
        <f>IF(I41="Done",1,0)</f>
        <v/>
      </c>
      <c r="M41" s="8">
        <f>L41*K41</f>
        <v/>
      </c>
      <c r="N41" s="8" t="str">
        <v/>
      </c>
    </row>
    <row r="42">
      <c r="A42" s="4">
        <v>32</v>
      </c>
      <c r="B42" s="4" t="str">
        <v>Authority &amp; Growth</v>
      </c>
      <c r="C42" s="4" t="str">
        <v>Build one pillar page per key offer/theme</v>
      </c>
      <c r="D42" s="4" t="str">
        <v>Creates long-term ranking anchors.</v>
      </c>
      <c r="E42" s="9" t="str">
        <v>P0</v>
      </c>
      <c r="F42" s="4" t="str">
        <v>L</v>
      </c>
      <c r="G42" s="4" t="str">
        <v>Quarterly</v>
      </c>
      <c r="H42" s="4" t="str">
        <v/>
      </c>
      <c r="I42" s="10" t="str">
        <v>Not started</v>
      </c>
      <c r="J42" s="4" t="str">
        <v>Pillar pages published</v>
      </c>
      <c r="K42" s="4">
        <v>9</v>
      </c>
      <c r="L42" s="4">
        <f>IF(I42="Done",1,0)</f>
        <v/>
      </c>
      <c r="M42" s="4">
        <f>L42*K42</f>
        <v/>
      </c>
      <c r="N42" s="4" t="str">
        <v/>
      </c>
    </row>
    <row r="43">
      <c r="A43" s="8">
        <v>33</v>
      </c>
      <c r="B43" s="8" t="str">
        <v>Authority &amp; Growth</v>
      </c>
      <c r="C43" s="8" t="str">
        <v>Review top landing pages monthly and improve weak CTR</v>
      </c>
      <c r="D43" s="8" t="str">
        <v>Optimizes what already ranks.</v>
      </c>
      <c r="E43" s="11" t="str">
        <v>P1</v>
      </c>
      <c r="F43" s="8" t="str">
        <v>M</v>
      </c>
      <c r="G43" s="8" t="str">
        <v>Monthly</v>
      </c>
      <c r="H43" s="8" t="str">
        <v/>
      </c>
      <c r="I43" s="10" t="str">
        <v>Not started</v>
      </c>
      <c r="J43" s="8" t="str">
        <v>CTR and clicks improve</v>
      </c>
      <c r="K43" s="8">
        <v>8</v>
      </c>
      <c r="L43" s="8">
        <f>IF(I43="Done",1,0)</f>
        <v/>
      </c>
      <c r="M43" s="8">
        <f>L43*K43</f>
        <v/>
      </c>
      <c r="N43" s="8" t="str">
        <v/>
      </c>
    </row>
    <row r="44">
      <c r="A44" s="4">
        <v>34</v>
      </c>
      <c r="B44" s="4" t="str">
        <v>Authority &amp; Growth</v>
      </c>
      <c r="C44" s="4" t="str">
        <v>Track branded vs non-branded click mix</v>
      </c>
      <c r="D44" s="4" t="str">
        <v>Ensures SEO strategy is expanding new demand.</v>
      </c>
      <c r="E44" s="12" t="str">
        <v>P2</v>
      </c>
      <c r="F44" s="4" t="str">
        <v>S</v>
      </c>
      <c r="G44" s="4" t="str">
        <v>Monthly</v>
      </c>
      <c r="H44" s="4" t="str">
        <v/>
      </c>
      <c r="I44" s="10" t="str">
        <v>Not started</v>
      </c>
      <c r="J44" s="4" t="str">
        <v>Non-brand share increasing</v>
      </c>
      <c r="K44" s="4">
        <v>5</v>
      </c>
      <c r="L44" s="4">
        <f>IF(I44="Done",1,0)</f>
        <v/>
      </c>
      <c r="M44" s="4">
        <f>L44*K44</f>
        <v/>
      </c>
      <c r="N44" s="4" t="str">
        <v/>
      </c>
    </row>
  </sheetData>
  <autoFilter ref="A5:N44"/>
  <mergeCells count="3">
    <mergeCell ref="A1:N1"/>
    <mergeCell ref="A2:N2"/>
    <mergeCell ref="B6:N6"/>
  </mergeCells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
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hecklist" sheetId="1" r:id="rId1"/>
    <sheet name="Dashboard" sheetId="2" r:id="rId2"/>
    <sheet name="90-Day Planner" sheetId="3" r:id="rId3"/>
  </sheets>
  <definedNames>
    <definedName name="_xlnm._FilterDatabase" localSheetId="0">'Checklist'!A5:N44</definedName>
    <definedName name="_xlnm._FilterDatabase" localSheetId="1">'Dashboard'!A4:D16</definedName>
    <definedName name="_xlnm._FilterDatabase" localSheetId="2">'90-Day Planner'!A4:J28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31" x14ac:knownFonts="1">
    <font>
      <sz val="11"/>
      <name val="Calibri"/>
    </font>
    <font>
      <sz val="11"/>
      <name val="Calibri"/>
    </font>
    <font>
      <sz val="18"/>
      <name val="Calibri"/>
      <b/>
      <color rgb="FFFFFFFF"/>
    </font>
    <font>
      <sz val="11"/>
      <name val="Calibri"/>
      <color rgb="FF0B1F3A"/>
    </font>
    <font>
      <sz val="11"/>
      <name val="Calibri"/>
      <b/>
      <color rgb="FFFFFFFF"/>
    </font>
    <font>
      <sz val="11"/>
      <name val="Calibri"/>
      <b/>
      <color rgb="FFFFFFFF"/>
    </font>
    <font>
      <sz val="11"/>
      <name val="Calibri"/>
      <b/>
      <color rgb="FFFFFFFF"/>
    </font>
    <font>
      <sz val="11"/>
      <name val="Calibri"/>
      <color rgb="FF0F172A"/>
    </font>
    <font>
      <sz val="11"/>
      <name val="Calibri"/>
      <color rgb="FF0F172A"/>
    </font>
    <font>
      <sz val="11"/>
      <name val="Calibri"/>
      <b/>
      <color rgb="FFFFFFFF"/>
    </font>
    <font>
      <sz val="11"/>
      <name val="Calibri"/>
      <b/>
      <color rgb="FF0F172A"/>
    </font>
    <font>
      <sz val="11"/>
      <name val="Calibri"/>
      <color rgb="FF0F172A"/>
    </font>
    <font>
      <sz val="11"/>
      <name val="Calibri"/>
      <color rgb="FF0F172A"/>
    </font>
    <font>
      <sz val="11"/>
      <name val="Calibri"/>
      <b/>
      <color rgb="FFFFFFFF"/>
    </font>
    <font>
      <sz val="11"/>
      <name val="Calibri"/>
      <b/>
      <color rgb="FF0F172A"/>
    </font>
    <font>
      <sz val="11"/>
      <name val="Calibri"/>
      <b/>
      <color rgb="FFFFFFFF"/>
    </font>
    <font>
      <sz val="11"/>
      <name val="Calibri"/>
      <b/>
      <color rgb="FFFFFFFF"/>
    </font>
    <font>
      <sz val="11"/>
      <name val="Calibri"/>
      <b/>
      <color rgb="FFFFFFFF"/>
    </font>
    <font>
      <sz val="11"/>
      <name val="Calibri"/>
      <b/>
      <color rgb="FF0F172A"/>
    </font>
    <font>
      <sz val="11"/>
      <name val="Calibri"/>
      <b/>
      <color rgb="FF0F172A"/>
    </font>
    <font>
      <sz val="18"/>
      <name val="Calibri"/>
      <b/>
      <color rgb="FFFFFFFF"/>
    </font>
    <font>
      <sz val="11"/>
      <name val="Calibri"/>
      <color rgb="FF0B1F3A"/>
    </font>
    <font>
      <sz val="11"/>
      <name val="Calibri"/>
      <b/>
      <color rgb="FFFFFFFF"/>
    </font>
    <font>
      <sz val="11"/>
      <name val="Calibri"/>
      <b/>
      <color rgb="FFFFFFFF"/>
    </font>
    <font>
      <sz val="11"/>
      <name val="Calibri"/>
      <b/>
      <color rgb="FF0F172A"/>
    </font>
    <font>
      <sz val="12"/>
      <name val="Calibri"/>
      <b/>
      <color rgb="FF1E3A8A"/>
    </font>
    <font>
      <sz val="11"/>
      <name val="Calibri"/>
      <b/>
      <color rgb="FF0F172A"/>
    </font>
    <font>
      <sz val="12"/>
      <name val="Calibri"/>
      <b/>
      <color rgb="FF1E3A8A"/>
    </font>
    <font>
      <sz val="12"/>
      <name val="Calibri"/>
      <b/>
      <color rgb="FF1E3A8A"/>
    </font>
    <font>
      <sz val="11"/>
      <name val="Calibri"/>
      <b/>
      <color rgb="FFFFFFFF"/>
    </font>
    <font>
      <sz val="11"/>
      <name val="Calibri"/>
      <b/>
      <color rgb="FFFFFFFF"/>
    </font>
  </fonts>
  <fills count="31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0B1F3A"/>
        <bgColor/>
      </patternFill>
    </fill>
    <fill>
      <patternFill patternType="solid">
        <fgColor rgb="FFF1F5F9"/>
        <bgColor/>
      </patternFill>
    </fill>
    <fill>
      <patternFill patternType="solid">
        <fgColor rgb="FF1E3A8A"/>
        <bgColor/>
      </patternFill>
    </fill>
    <fill>
      <patternFill patternType="solid">
        <fgColor rgb="FF1E3A8A"/>
        <bgColor/>
      </patternFill>
    </fill>
    <fill>
      <patternFill patternType="solid">
        <fgColor rgb="FF0E7490"/>
        <bgColor/>
      </patternFill>
    </fill>
    <fill>
      <patternFill patternType="solid">
        <fgColor rgb="FFFFFFFF"/>
        <bgColor/>
      </patternFill>
    </fill>
    <fill>
      <patternFill patternType="solid">
        <fgColor rgb="FFFFFFFF"/>
        <bgColor/>
      </patternFill>
    </fill>
    <fill>
      <patternFill patternType="solid">
        <fgColor rgb="FFDC2626"/>
        <bgColor/>
      </patternFill>
    </fill>
    <fill>
      <patternFill patternType="solid">
        <fgColor rgb="FFCBD5E1"/>
        <bgColor/>
      </patternFill>
    </fill>
    <fill>
      <patternFill patternType="solid">
        <fgColor rgb="FFF1F5F9"/>
        <bgColor/>
      </patternFill>
    </fill>
    <fill>
      <patternFill patternType="solid">
        <fgColor rgb="FFF1F5F9"/>
        <bgColor/>
      </patternFill>
    </fill>
    <fill>
      <patternFill patternType="solid">
        <fgColor rgb="FFDC2626"/>
        <bgColor/>
      </patternFill>
    </fill>
    <fill>
      <patternFill patternType="solid">
        <fgColor rgb="FFCBD5E1"/>
        <bgColor/>
      </patternFill>
    </fill>
    <fill>
      <patternFill patternType="solid">
        <fgColor rgb="FFEA580C"/>
        <bgColor/>
      </patternFill>
    </fill>
    <fill>
      <patternFill patternType="solid">
        <fgColor rgb="FFEA580C"/>
        <bgColor/>
      </patternFill>
    </fill>
    <fill>
      <patternFill patternType="solid">
        <fgColor rgb="FF0E7490"/>
        <bgColor/>
      </patternFill>
    </fill>
    <fill>
      <patternFill patternType="solid">
        <fgColor rgb="FFF59E0B"/>
        <bgColor/>
      </patternFill>
    </fill>
    <fill>
      <patternFill patternType="solid">
        <fgColor rgb="FFF59E0B"/>
        <bgColor/>
      </patternFill>
    </fill>
    <fill>
      <patternFill patternType="solid">
        <fgColor rgb="FF0B1F3A"/>
        <bgColor/>
      </patternFill>
    </fill>
    <fill>
      <patternFill patternType="solid">
        <fgColor rgb="FFF1F5F9"/>
        <bgColor/>
      </patternFill>
    </fill>
    <fill>
      <patternFill patternType="solid">
        <fgColor rgb="FF0B1F3A"/>
        <bgColor/>
      </patternFill>
    </fill>
    <fill>
      <patternFill patternType="solid">
        <fgColor rgb="FF0B1F3A"/>
        <bgColor/>
      </patternFill>
    </fill>
    <fill>
      <patternFill patternType="solid">
        <fgColor rgb="FFE2E8F0"/>
        <bgColor/>
      </patternFill>
    </fill>
    <fill>
      <patternFill patternType="solid">
        <fgColor rgb="FFFFFFFF"/>
        <bgColor/>
      </patternFill>
    </fill>
    <fill>
      <patternFill patternType="solid">
        <fgColor rgb="FFE2E8F0"/>
        <bgColor/>
      </patternFill>
    </fill>
    <fill>
      <patternFill patternType="solid">
        <fgColor rgb="FFFFFFFF"/>
        <bgColor/>
      </patternFill>
    </fill>
    <fill>
      <patternFill patternType="solid">
        <fgColor rgb="FFFFFFFF"/>
        <bgColor/>
      </patternFill>
    </fill>
    <fill>
      <patternFill patternType="solid">
        <fgColor rgb="FF047857"/>
        <bgColor/>
      </patternFill>
    </fill>
    <fill>
      <patternFill patternType="solid">
        <fgColor rgb="FF047857"/>
        <bgColor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>
    <xf numFmtId="0" fontId="0" fillId="0" borderId="0"/>
  </cellStyleXfs>
  <cellXfs count="32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wrapText="true"/>
    </xf>
    <xf numFmtId="0" fontId="4" fillId="4" borderId="2" xfId="0" applyFont="1" applyFill="1" applyBorder="1" applyAlignment="1">
      <alignment horizontal="center" vertical="center" wrapText="true"/>
    </xf>
    <xf numFmtId="0" fontId="5" fillId="5" borderId="3" xfId="0" applyFont="1" applyFill="1" applyBorder="1" applyAlignment="1">
      <alignment horizontal="center" vertical="center" wrapText="true"/>
    </xf>
    <xf numFmtId="0" fontId="6" fillId="6" borderId="4" xfId="0" applyFont="1" applyFill="1" applyBorder="1" applyAlignment="1">
      <alignment horizontal="left" vertical="center"/>
    </xf>
    <xf numFmtId="0" fontId="7" fillId="7" borderId="5" xfId="0" applyFont="1" applyFill="1" applyBorder="1" applyAlignment="1">
      <alignment horizontal="left" vertical="top" wrapText="true"/>
    </xf>
    <xf numFmtId="0" fontId="8" fillId="8" borderId="6" xfId="0" applyFont="1" applyFill="1" applyBorder="1" applyAlignment="1">
      <alignment horizontal="left" vertical="top" wrapText="true"/>
    </xf>
    <xf numFmtId="0" fontId="9" fillId="9" borderId="7" xfId="0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 vertical="center"/>
    </xf>
    <xf numFmtId="0" fontId="11" fillId="11" borderId="9" xfId="0" applyFont="1" applyFill="1" applyBorder="1" applyAlignment="1">
      <alignment horizontal="left" vertical="top" wrapText="true"/>
    </xf>
    <xf numFmtId="0" fontId="12" fillId="12" borderId="10" xfId="0" applyFont="1" applyFill="1" applyBorder="1" applyAlignment="1">
      <alignment horizontal="left" vertical="top" wrapText="true"/>
    </xf>
    <xf numFmtId="0" fontId="13" fillId="13" borderId="11" xfId="0" applyFont="1" applyFill="1" applyBorder="1" applyAlignment="1">
      <alignment horizontal="center" vertical="center"/>
    </xf>
    <xf numFmtId="0" fontId="14" fillId="14" borderId="12" xfId="0" applyFont="1" applyFill="1" applyBorder="1" applyAlignment="1">
      <alignment horizontal="center" vertical="center"/>
    </xf>
    <xf numFmtId="0" fontId="15" fillId="15" borderId="13" xfId="0" applyFont="1" applyFill="1" applyBorder="1" applyAlignment="1">
      <alignment horizontal="center" vertical="center"/>
    </xf>
    <xf numFmtId="0" fontId="16" fillId="16" borderId="14" xfId="0" applyFont="1" applyFill="1" applyBorder="1" applyAlignment="1">
      <alignment horizontal="center" vertical="center"/>
    </xf>
    <xf numFmtId="0" fontId="17" fillId="17" borderId="15" xfId="0" applyFont="1" applyFill="1" applyBorder="1" applyAlignment="1">
      <alignment horizontal="left" vertical="center"/>
    </xf>
    <xf numFmtId="0" fontId="18" fillId="18" borderId="16" xfId="0" applyFont="1" applyFill="1" applyBorder="1" applyAlignment="1">
      <alignment horizontal="center" vertical="center"/>
    </xf>
    <xf numFmtId="0" fontId="19" fillId="19" borderId="17" xfId="0" applyFont="1" applyFill="1" applyBorder="1" applyAlignment="1">
      <alignment horizontal="center" vertical="center"/>
    </xf>
    <xf numFmtId="0" fontId="20" fillId="20" borderId="0" xfId="0" applyFont="1" applyFill="1" applyAlignment="1">
      <alignment horizontal="center" vertical="center"/>
    </xf>
    <xf numFmtId="0" fontId="21" fillId="21" borderId="0" xfId="0" applyFont="1" applyFill="1" applyAlignment="1">
      <alignment horizontal="left" vertical="center" wrapText="true"/>
    </xf>
    <xf numFmtId="0" fontId="22" fillId="22" borderId="18" xfId="0" applyFont="1" applyFill="1" applyBorder="1" applyAlignment="1">
      <alignment horizontal="center" vertical="center"/>
    </xf>
    <xf numFmtId="0" fontId="23" fillId="23" borderId="19" xfId="0" applyFont="1" applyFill="1" applyBorder="1" applyAlignment="1">
      <alignment horizontal="center" vertical="center"/>
    </xf>
    <xf numFmtId="0" fontId="24" fillId="24" borderId="20" xfId="0" applyFont="1" applyFill="1" applyBorder="1" applyAlignment="1">
      <alignment horizontal="left" vertical="center" wrapText="true"/>
    </xf>
    <xf numFmtId="0" fontId="25" fillId="25" borderId="21" xfId="0" applyFont="1" applyFill="1" applyBorder="1" applyAlignment="1">
      <alignment horizontal="center" vertical="center"/>
    </xf>
    <xf numFmtId="0" fontId="26" fillId="26" borderId="22" xfId="0" applyFont="1" applyFill="1" applyBorder="1" applyAlignment="1">
      <alignment horizontal="left" vertical="center" wrapText="true"/>
    </xf>
    <xf numFmtId="0" fontId="27" fillId="27" borderId="23" xfId="0" applyFont="1" applyFill="1" applyBorder="1" applyAlignment="1">
      <alignment horizontal="center" vertical="center"/>
    </xf>
    <xf numFmtId="9" fontId="28" fillId="28" borderId="24" xfId="0" applyFont="1" applyFill="1" applyBorder="1" applyNumberFormat="1" applyAlignment="1">
      <alignment horizontal="center" vertical="center"/>
    </xf>
    <xf numFmtId="0" fontId="29" fillId="29" borderId="25" xfId="0" applyFont="1" applyFill="1" applyBorder="1" applyAlignment="1">
      <alignment horizontal="center" vertical="center" wrapText="true"/>
    </xf>
    <xf numFmtId="0" fontId="30" fillId="30" borderId="26" xfId="0" applyFont="1" applyFill="1" applyBorder="1" applyAlignment="1">
      <alignment horizontal="center" vertical="center" wrapText="true"/>
    </xf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cols>
    <col min="1" max="1" width="5.83203125" customWidth="1"/>
    <col min="2" max="2" width="24.83203125" customWidth="1"/>
    <col min="3" max="3" width="42.83203125" customWidth="1"/>
    <col min="4" max="4" width="44.83203125" customWidth="1"/>
    <col min="5" max="5" width="9.83203125" customWidth="1"/>
    <col min="6" max="6" width="9.83203125" customWidth="1"/>
    <col min="7" max="7" width="12.83203125" customWidth="1"/>
    <col min="8" max="8" width="14.83203125" customWidth="1"/>
    <col min="9" max="9" width="14.83203125" customWidth="1"/>
    <col min="10" max="10" width="24.83203125" customWidth="1"/>
    <col min="11" max="11" width="12.83203125" customWidth="1"/>
    <col min="12" max="12" width="10.83203125" customWidth="1"/>
    <col min="13" max="13" width="14.83203125" customWidth="1"/>
    <col min="14" max="14" width="30.83203125" customWidth="1"/>
  </cols>
  <sheetData>
    <row r="1" ht="30" customHeight="1">
      <c r="A1" s="3" t="str">
        <v>SHOPIFY SEO POWER CHECKLIST</v>
      </c>
    </row>
    <row r="2" ht="24" customHeight="1">
      <c r="A2" s="4" t="str">
        <v>Use this as your execution command center. Focus on P0 and P1 actions first, then stack wins weekly. Status options: Not started | In progress | Blocked | Done.</v>
      </c>
    </row>
    <row r="5" ht="24" customHeight="1">
      <c r="A5" s="5" t="str">
        <v>#</v>
      </c>
      <c r="B5" s="6" t="str">
        <v>Pillar</v>
      </c>
      <c r="C5" s="6" t="str">
        <v>Action</v>
      </c>
      <c r="D5" s="6" t="str">
        <v>Why this matters</v>
      </c>
      <c r="E5" s="6" t="str">
        <v>Priority</v>
      </c>
      <c r="F5" s="6" t="str">
        <v>Effort</v>
      </c>
      <c r="G5" s="6" t="str">
        <v>Frequency</v>
      </c>
      <c r="H5" s="6" t="str">
        <v>Owner</v>
      </c>
      <c r="I5" s="6" t="str">
        <v>Status</v>
      </c>
      <c r="J5" s="6" t="str">
        <v>KPI target</v>
      </c>
      <c r="K5" s="6" t="str">
        <v>Weight</v>
      </c>
      <c r="L5" s="6" t="str">
        <v>Done?</v>
      </c>
      <c r="M5" s="6" t="str">
        <v>Points</v>
      </c>
      <c r="N5" s="6" t="str">
        <v>Notes</v>
      </c>
    </row>
    <row r="6">
      <c r="A6" s="2" t="str">
        <v/>
      </c>
      <c r="B6" s="7" t="str">
        <v>FOUNDATION SECTION</v>
      </c>
    </row>
    <row r="7">
      <c r="A7" s="8">
        <v>1</v>
      </c>
      <c r="B7" s="9" t="str">
        <v>Foundation</v>
      </c>
      <c r="C7" s="9" t="str">
        <v>Set up GA4, Google Search Console, and Bing Webmaster Tools</v>
      </c>
      <c r="D7" s="9" t="str">
        <v>Without baseline tracking, you cannot measure SEO growth reliably.</v>
      </c>
      <c r="E7" s="10" t="str">
        <v>P0</v>
      </c>
      <c r="F7" s="9" t="str">
        <v>S</v>
      </c>
      <c r="G7" s="9" t="str">
        <v>Once</v>
      </c>
      <c r="H7" s="9" t="str">
        <v/>
      </c>
      <c r="I7" s="11" t="str">
        <v>Not started</v>
      </c>
      <c r="J7" s="9" t="str">
        <v>All tools verified</v>
      </c>
      <c r="K7" s="9">
        <v>8</v>
      </c>
      <c r="L7" s="9">
        <f>IF(I7="Done",1,0)</f>
      </c>
      <c r="M7" s="9">
        <f>L7*K7</f>
      </c>
      <c r="N7" s="9" t="str">
        <v/>
      </c>
    </row>
    <row r="8">
      <c r="A8" s="12">
        <v>2</v>
      </c>
      <c r="B8" s="13" t="str">
        <v>Foundation</v>
      </c>
      <c r="C8" s="13" t="str">
        <v>Submit and validate XML sitemap in Search Console</v>
      </c>
      <c r="D8" s="13" t="str">
        <v>Ensures fast discovery and recrawl of key pages.</v>
      </c>
      <c r="E8" s="14" t="str">
        <v>P0</v>
      </c>
      <c r="F8" s="13" t="str">
        <v>S</v>
      </c>
      <c r="G8" s="13" t="str">
        <v>Monthly</v>
      </c>
      <c r="H8" s="13" t="str">
        <v/>
      </c>
      <c r="I8" s="15" t="str">
        <v>Not started</v>
      </c>
      <c r="J8" s="13" t="str">
        <v>Indexed pages rising</v>
      </c>
      <c r="K8" s="13">
        <v>7</v>
      </c>
      <c r="L8" s="13">
        <f>IF(I8="Done",1,0)</f>
      </c>
      <c r="M8" s="13">
        <f>L8*K8</f>
      </c>
      <c r="N8" s="13" t="str">
        <v/>
      </c>
    </row>
    <row r="9">
      <c r="A9" s="9">
        <v>3</v>
      </c>
      <c r="B9" s="9" t="str">
        <v>Foundation</v>
      </c>
      <c r="C9" s="9" t="str">
        <v>Connect Search Console queries to a reporting sheet</v>
      </c>
      <c r="D9" s="9" t="str">
        <v>Makes ranking movement and opportunity spotting easier.</v>
      </c>
      <c r="E9" s="16" t="str">
        <v>P1</v>
      </c>
      <c r="F9" s="9" t="str">
        <v>M</v>
      </c>
      <c r="G9" s="9" t="str">
        <v>Weekly</v>
      </c>
      <c r="H9" s="9" t="str">
        <v/>
      </c>
      <c r="I9" s="15" t="str">
        <v>Not started</v>
      </c>
      <c r="J9" s="9" t="str">
        <v>Top query trends tracked</v>
      </c>
      <c r="K9" s="9">
        <v>6</v>
      </c>
      <c r="L9" s="9">
        <f>IF(I9="Done",1,0)</f>
      </c>
      <c r="M9" s="9">
        <f>L9*K9</f>
      </c>
      <c r="N9" s="9" t="str">
        <v/>
      </c>
    </row>
    <row r="10">
      <c r="A10" s="13">
        <v>4</v>
      </c>
      <c r="B10" s="13" t="str">
        <v>Foundation</v>
      </c>
      <c r="C10" s="13" t="str">
        <v>Define a primary KPI stack (sessions, non-brand clicks, assisted revenue)</v>
      </c>
      <c r="D10" s="13" t="str">
        <v>Keeps execution focused on outcomes, not vanity metrics.</v>
      </c>
      <c r="E10" s="14" t="str">
        <v>P0</v>
      </c>
      <c r="F10" s="13" t="str">
        <v>S</v>
      </c>
      <c r="G10" s="13" t="str">
        <v>Once</v>
      </c>
      <c r="H10" s="13" t="str">
        <v/>
      </c>
      <c r="I10" s="15" t="str">
        <v>Not started</v>
      </c>
      <c r="J10" s="13" t="str">
        <v>KPI dashboard live</v>
      </c>
      <c r="K10" s="13">
        <v>8</v>
      </c>
      <c r="L10" s="13">
        <f>IF(I10="Done",1,0)</f>
      </c>
      <c r="M10" s="13">
        <f>L10*K10</f>
      </c>
      <c r="N10" s="13" t="str">
        <v/>
      </c>
    </row>
    <row r="11">
      <c r="A11" s="9">
        <v>5</v>
      </c>
      <c r="B11" s="9" t="str">
        <v>Foundation</v>
      </c>
      <c r="C11" s="9" t="str">
        <v>Map top 20 commercial keywords to specific pages</v>
      </c>
      <c r="D11" s="9" t="str">
        <v>Prevents cannibalization and clarifies optimization targets.</v>
      </c>
      <c r="E11" s="14" t="str">
        <v>P0</v>
      </c>
      <c r="F11" s="9" t="str">
        <v>M</v>
      </c>
      <c r="G11" s="9" t="str">
        <v>Quarterly</v>
      </c>
      <c r="H11" s="9" t="str">
        <v/>
      </c>
      <c r="I11" s="15" t="str">
        <v>Not started</v>
      </c>
      <c r="J11" s="9" t="str">
        <v>Keyword-to-page map complete</v>
      </c>
      <c r="K11" s="9">
        <v>8</v>
      </c>
      <c r="L11" s="9">
        <f>IF(I11="Done",1,0)</f>
      </c>
      <c r="M11" s="9">
        <f>L11*K11</f>
      </c>
      <c r="N11" s="9" t="str">
        <v/>
      </c>
    </row>
    <row r="12">
      <c r="A12" s="13">
        <v>6</v>
      </c>
      <c r="B12" s="13" t="str">
        <v>Foundation</v>
      </c>
      <c r="C12" s="13" t="str">
        <v>Benchmark top 5 SERP competitors by category</v>
      </c>
      <c r="D12" s="13" t="str">
        <v>Reveals content and authority gaps to close.</v>
      </c>
      <c r="E12" s="17" t="str">
        <v>P1</v>
      </c>
      <c r="F12" s="13" t="str">
        <v>M</v>
      </c>
      <c r="G12" s="13" t="str">
        <v>Quarterly</v>
      </c>
      <c r="H12" s="13" t="str">
        <v/>
      </c>
      <c r="I12" s="15" t="str">
        <v>Not started</v>
      </c>
      <c r="J12" s="13" t="str">
        <v>Gap list documented</v>
      </c>
      <c r="K12" s="13">
        <v>6</v>
      </c>
      <c r="L12" s="13">
        <f>IF(I12="Done",1,0)</f>
      </c>
      <c r="M12" s="13">
        <f>L12*K12</f>
      </c>
      <c r="N12" s="13" t="str">
        <v/>
      </c>
    </row>
    <row r="13">
      <c r="A13" s="2" t="str">
        <v/>
      </c>
      <c r="B13" s="18" t="str">
        <v>TECHNICAL SECTION</v>
      </c>
    </row>
    <row r="14">
      <c r="A14" s="9">
        <v>7</v>
      </c>
      <c r="B14" s="9" t="str">
        <v>Technical</v>
      </c>
      <c r="C14" s="9" t="str">
        <v>Ensure robots.txt.liquid allows key collections, products, and blogs</v>
      </c>
      <c r="D14" s="9" t="str">
        <v>Prevents accidental deindexing of revenue pages.</v>
      </c>
      <c r="E14" s="14" t="str">
        <v>P0</v>
      </c>
      <c r="F14" s="9" t="str">
        <v>M</v>
      </c>
      <c r="G14" s="9" t="str">
        <v>Quarterly</v>
      </c>
      <c r="H14" s="9" t="str">
        <v/>
      </c>
      <c r="I14" s="15" t="str">
        <v>Not started</v>
      </c>
      <c r="J14" s="9" t="str">
        <v>No critical blocked URLs</v>
      </c>
      <c r="K14" s="9">
        <v>9</v>
      </c>
      <c r="L14" s="9">
        <f>IF(I14="Done",1,0)</f>
      </c>
      <c r="M14" s="9">
        <f>L14*K14</f>
      </c>
      <c r="N14" s="9" t="str">
        <v/>
      </c>
    </row>
    <row r="15">
      <c r="A15" s="13">
        <v>8</v>
      </c>
      <c r="B15" s="13" t="str">
        <v>Technical</v>
      </c>
      <c r="C15" s="13" t="str">
        <v>Fix broken links (4xx) across navigation, products, and blog</v>
      </c>
      <c r="D15" s="13" t="str">
        <v>Protects crawl budget and user trust.</v>
      </c>
      <c r="E15" s="14" t="str">
        <v>P0</v>
      </c>
      <c r="F15" s="13" t="str">
        <v>M</v>
      </c>
      <c r="G15" s="13" t="str">
        <v>Monthly</v>
      </c>
      <c r="H15" s="13" t="str">
        <v/>
      </c>
      <c r="I15" s="15" t="str">
        <v>Not started</v>
      </c>
      <c r="J15" s="13" t="str">
        <v>Broken links &lt; 1%</v>
      </c>
      <c r="K15" s="13">
        <v>9</v>
      </c>
      <c r="L15" s="13">
        <f>IF(I15="Done",1,0)</f>
      </c>
      <c r="M15" s="13">
        <f>L15*K15</f>
      </c>
      <c r="N15" s="13" t="str">
        <v/>
      </c>
    </row>
    <row r="16">
      <c r="A16" s="9">
        <v>9</v>
      </c>
      <c r="B16" s="9" t="str">
        <v>Technical</v>
      </c>
      <c r="C16" s="9" t="str">
        <v>Audit duplicate content from collection/product URL variants</v>
      </c>
      <c r="D16" s="9" t="str">
        <v>Stops index dilution and ranking confusion.</v>
      </c>
      <c r="E16" s="14" t="str">
        <v>P0</v>
      </c>
      <c r="F16" s="9" t="str">
        <v>M</v>
      </c>
      <c r="G16" s="9" t="str">
        <v>Quarterly</v>
      </c>
      <c r="H16" s="9" t="str">
        <v/>
      </c>
      <c r="I16" s="15" t="str">
        <v>Not started</v>
      </c>
      <c r="J16" s="9" t="str">
        <v>Canonical setup verified</v>
      </c>
      <c r="K16" s="9">
        <v>8</v>
      </c>
      <c r="L16" s="9">
        <f>IF(I16="Done",1,0)</f>
      </c>
      <c r="M16" s="9">
        <f>L16*K16</f>
      </c>
      <c r="N16" s="9" t="str">
        <v/>
      </c>
    </row>
    <row r="17">
      <c r="A17" s="13">
        <v>10</v>
      </c>
      <c r="B17" s="13" t="str">
        <v>Technical</v>
      </c>
      <c r="C17" s="13" t="str">
        <v>Improve Core Web Vitals on mobile templates</v>
      </c>
      <c r="D17" s="13" t="str">
        <v>Directly impacts rankings and conversion rate.</v>
      </c>
      <c r="E17" s="14" t="str">
        <v>P0</v>
      </c>
      <c r="F17" s="13" t="str">
        <v>L</v>
      </c>
      <c r="G17" s="13" t="str">
        <v>Monthly</v>
      </c>
      <c r="H17" s="13" t="str">
        <v/>
      </c>
      <c r="I17" s="15" t="str">
        <v>Not started</v>
      </c>
      <c r="J17" s="13" t="str">
        <v>CWV pass rate &gt; 75%</v>
      </c>
      <c r="K17" s="13">
        <v>10</v>
      </c>
      <c r="L17" s="13">
        <f>IF(I17="Done",1,0)</f>
      </c>
      <c r="M17" s="13">
        <f>L17*K17</f>
      </c>
      <c r="N17" s="13" t="str">
        <v/>
      </c>
    </row>
    <row r="18">
      <c r="A18" s="9">
        <v>11</v>
      </c>
      <c r="B18" s="9" t="str">
        <v>Technical</v>
      </c>
      <c r="C18" s="9" t="str">
        <v>Compress and lazy-load oversized media on blog and product pages</v>
      </c>
      <c r="D18" s="9" t="str">
        <v>Improves speed and crawl efficiency.</v>
      </c>
      <c r="E18" s="17" t="str">
        <v>P1</v>
      </c>
      <c r="F18" s="9" t="str">
        <v>M</v>
      </c>
      <c r="G18" s="9" t="str">
        <v>Monthly</v>
      </c>
      <c r="H18" s="9" t="str">
        <v/>
      </c>
      <c r="I18" s="15" t="str">
        <v>Not started</v>
      </c>
      <c r="J18" s="9" t="str">
        <v>Image payload reduced</v>
      </c>
      <c r="K18" s="9">
        <v>7</v>
      </c>
      <c r="L18" s="9">
        <f>IF(I18="Done",1,0)</f>
      </c>
      <c r="M18" s="9">
        <f>L18*K18</f>
      </c>
      <c r="N18" s="9" t="str">
        <v/>
      </c>
    </row>
    <row r="19">
      <c r="A19" s="13">
        <v>12</v>
      </c>
      <c r="B19" s="13" t="str">
        <v>Technical</v>
      </c>
      <c r="C19" s="13" t="str">
        <v>Validate schema for Product, Article, FAQ, and Breadcrumb</v>
      </c>
      <c r="D19" s="13" t="str">
        <v>Enhances rich result eligibility and SERP CTR.</v>
      </c>
      <c r="E19" s="14" t="str">
        <v>P0</v>
      </c>
      <c r="F19" s="13" t="str">
        <v>M</v>
      </c>
      <c r="G19" s="13" t="str">
        <v>Monthly</v>
      </c>
      <c r="H19" s="13" t="str">
        <v/>
      </c>
      <c r="I19" s="15" t="str">
        <v>Not started</v>
      </c>
      <c r="J19" s="13" t="str">
        <v>Schema errors = 0</v>
      </c>
      <c r="K19" s="13">
        <v>9</v>
      </c>
      <c r="L19" s="13">
        <f>IF(I19="Done",1,0)</f>
      </c>
      <c r="M19" s="13">
        <f>L19*K19</f>
      </c>
      <c r="N19" s="13" t="str">
        <v/>
      </c>
    </row>
    <row r="20">
      <c r="A20" s="9">
        <v>13</v>
      </c>
      <c r="B20" s="9" t="str">
        <v>Technical</v>
      </c>
      <c r="C20" s="9" t="str">
        <v>Set and monitor 301 redirects for moved or deleted pages</v>
      </c>
      <c r="D20" s="9" t="str">
        <v>Preserves link equity and avoids dead-end traffic.</v>
      </c>
      <c r="E20" s="17" t="str">
        <v>P1</v>
      </c>
      <c r="F20" s="9" t="str">
        <v>S</v>
      </c>
      <c r="G20" s="9" t="str">
        <v>Weekly</v>
      </c>
      <c r="H20" s="9" t="str">
        <v/>
      </c>
      <c r="I20" s="15" t="str">
        <v>Not started</v>
      </c>
      <c r="J20" s="9" t="str">
        <v>Redirect backlog cleared</v>
      </c>
      <c r="K20" s="9">
        <v>7</v>
      </c>
      <c r="L20" s="9">
        <f>IF(I20="Done",1,0)</f>
      </c>
      <c r="M20" s="9">
        <f>L20*K20</f>
      </c>
      <c r="N20" s="9" t="str">
        <v/>
      </c>
    </row>
    <row r="21">
      <c r="A21" s="13">
        <v>14</v>
      </c>
      <c r="B21" s="13" t="str">
        <v>Technical</v>
      </c>
      <c r="C21" s="13" t="str">
        <v>Review index coverage and investigate excluded URLs</v>
      </c>
      <c r="D21" s="13" t="str">
        <v>Finds hidden crawl/indexation blockers quickly.</v>
      </c>
      <c r="E21" s="17" t="str">
        <v>P1</v>
      </c>
      <c r="F21" s="13" t="str">
        <v>M</v>
      </c>
      <c r="G21" s="13" t="str">
        <v>Weekly</v>
      </c>
      <c r="H21" s="13" t="str">
        <v/>
      </c>
      <c r="I21" s="15" t="str">
        <v>Not started</v>
      </c>
      <c r="J21" s="13" t="str">
        <v>Valid indexed pages increase</v>
      </c>
      <c r="K21" s="13">
        <v>7</v>
      </c>
      <c r="L21" s="13">
        <f>IF(I21="Done",1,0)</f>
      </c>
      <c r="M21" s="13">
        <f>L21*K21</f>
      </c>
      <c r="N21" s="13" t="str">
        <v/>
      </c>
    </row>
    <row r="22">
      <c r="A22" s="2" t="str">
        <v/>
      </c>
      <c r="B22" s="18" t="str">
        <v>ON-PAGE &amp; CONTENT SECTION</v>
      </c>
    </row>
    <row r="23">
      <c r="A23" s="9">
        <v>15</v>
      </c>
      <c r="B23" s="9" t="str">
        <v>On-Page &amp; Content</v>
      </c>
      <c r="C23" s="9" t="str">
        <v>Publish long-tail blog content aligned to product intent</v>
      </c>
      <c r="D23" s="9" t="str">
        <v>Captures discovery traffic closer to purchase.</v>
      </c>
      <c r="E23" s="14" t="str">
        <v>P0</v>
      </c>
      <c r="F23" s="9" t="str">
        <v>M</v>
      </c>
      <c r="G23" s="9" t="str">
        <v>Weekly</v>
      </c>
      <c r="H23" s="9" t="str">
        <v/>
      </c>
      <c r="I23" s="15" t="str">
        <v>Not started</v>
      </c>
      <c r="J23" s="9" t="str">
        <v>New SEO posts shipped</v>
      </c>
      <c r="K23" s="9">
        <v>9</v>
      </c>
      <c r="L23" s="9">
        <f>IF(I23="Done",1,0)</f>
      </c>
      <c r="M23" s="9">
        <f>L23*K23</f>
      </c>
      <c r="N23" s="9" t="str">
        <v/>
      </c>
    </row>
    <row r="24">
      <c r="A24" s="13">
        <v>16</v>
      </c>
      <c r="B24" s="13" t="str">
        <v>On-Page &amp; Content</v>
      </c>
      <c r="C24" s="13" t="str">
        <v>Optimize title tags for click intent and keyword fit</v>
      </c>
      <c r="D24" s="13" t="str">
        <v>Improves ranking relevance and click-through rate.</v>
      </c>
      <c r="E24" s="14" t="str">
        <v>P0</v>
      </c>
      <c r="F24" s="13" t="str">
        <v>S</v>
      </c>
      <c r="G24" s="13" t="str">
        <v>Weekly</v>
      </c>
      <c r="H24" s="13" t="str">
        <v/>
      </c>
      <c r="I24" s="15" t="str">
        <v>Not started</v>
      </c>
      <c r="J24" s="13" t="str">
        <v>CTR increases on optimized pages</v>
      </c>
      <c r="K24" s="13">
        <v>8</v>
      </c>
      <c r="L24" s="13">
        <f>IF(I24="Done",1,0)</f>
      </c>
      <c r="M24" s="13">
        <f>L24*K24</f>
      </c>
      <c r="N24" s="13" t="str">
        <v/>
      </c>
    </row>
    <row r="25">
      <c r="A25" s="9">
        <v>17</v>
      </c>
      <c r="B25" s="9" t="str">
        <v>On-Page &amp; Content</v>
      </c>
      <c r="C25" s="9" t="str">
        <v>Refine meta descriptions for value proposition clarity</v>
      </c>
      <c r="D25" s="9" t="str">
        <v>Improves CTR even when rankings stay flat.</v>
      </c>
      <c r="E25" s="17" t="str">
        <v>P1</v>
      </c>
      <c r="F25" s="9" t="str">
        <v>S</v>
      </c>
      <c r="G25" s="9" t="str">
        <v>Weekly</v>
      </c>
      <c r="H25" s="9" t="str">
        <v/>
      </c>
      <c r="I25" s="15" t="str">
        <v>Not started</v>
      </c>
      <c r="J25" s="9" t="str">
        <v>CTR lift on test pages</v>
      </c>
      <c r="K25" s="9">
        <v>6</v>
      </c>
      <c r="L25" s="9">
        <f>IF(I25="Done",1,0)</f>
      </c>
      <c r="M25" s="9">
        <f>L25*K25</f>
      </c>
      <c r="N25" s="9" t="str">
        <v/>
      </c>
    </row>
    <row r="26">
      <c r="A26" s="13">
        <v>18</v>
      </c>
      <c r="B26" s="13" t="str">
        <v>On-Page &amp; Content</v>
      </c>
      <c r="C26" s="13" t="str">
        <v>Use one clear H1 and structured H2/H3 sections</v>
      </c>
      <c r="D26" s="13" t="str">
        <v>Helps search engines parse page relevance.</v>
      </c>
      <c r="E26" s="17" t="str">
        <v>P1</v>
      </c>
      <c r="F26" s="13" t="str">
        <v>S</v>
      </c>
      <c r="G26" s="13" t="str">
        <v>Weekly</v>
      </c>
      <c r="H26" s="13" t="str">
        <v/>
      </c>
      <c r="I26" s="15" t="str">
        <v>Not started</v>
      </c>
      <c r="J26" s="13" t="str">
        <v>Header structure compliant</v>
      </c>
      <c r="K26" s="13">
        <v>6</v>
      </c>
      <c r="L26" s="13">
        <f>IF(I26="Done",1,0)</f>
      </c>
      <c r="M26" s="13">
        <f>L26*K26</f>
      </c>
      <c r="N26" s="13" t="str">
        <v/>
      </c>
    </row>
    <row r="27">
      <c r="A27" s="9">
        <v>19</v>
      </c>
      <c r="B27" s="9" t="str">
        <v>On-Page &amp; Content</v>
      </c>
      <c r="C27" s="9" t="str">
        <v>Add FAQ blocks to high-opportunity pages</v>
      </c>
      <c r="D27" s="9" t="str">
        <v>Expands topical coverage and potential rich snippets.</v>
      </c>
      <c r="E27" s="17" t="str">
        <v>P1</v>
      </c>
      <c r="F27" s="9" t="str">
        <v>M</v>
      </c>
      <c r="G27" s="9" t="str">
        <v>Monthly</v>
      </c>
      <c r="H27" s="9" t="str">
        <v/>
      </c>
      <c r="I27" s="15" t="str">
        <v>Not started</v>
      </c>
      <c r="J27" s="9" t="str">
        <v>FAQ impressions increase</v>
      </c>
      <c r="K27" s="9">
        <v>7</v>
      </c>
      <c r="L27" s="9">
        <f>IF(I27="Done",1,0)</f>
      </c>
      <c r="M27" s="9">
        <f>L27*K27</f>
      </c>
      <c r="N27" s="9" t="str">
        <v/>
      </c>
    </row>
    <row r="28">
      <c r="A28" s="13">
        <v>20</v>
      </c>
      <c r="B28" s="13" t="str">
        <v>On-Page &amp; Content</v>
      </c>
      <c r="C28" s="13" t="str">
        <v>Include TLDR or overview blocks in long posts</v>
      </c>
      <c r="D28" s="13" t="str">
        <v>Reduces bounce and improves engagement signals.</v>
      </c>
      <c r="E28" s="19" t="str">
        <v>P2</v>
      </c>
      <c r="F28" s="13" t="str">
        <v>S</v>
      </c>
      <c r="G28" s="13" t="str">
        <v>Weekly</v>
      </c>
      <c r="H28" s="13" t="str">
        <v/>
      </c>
      <c r="I28" s="15" t="str">
        <v>Not started</v>
      </c>
      <c r="J28" s="13" t="str">
        <v>Average engaged time up</v>
      </c>
      <c r="K28" s="13">
        <v>5</v>
      </c>
      <c r="L28" s="13">
        <f>IF(I28="Done",1,0)</f>
      </c>
      <c r="M28" s="13">
        <f>L28*K28</f>
      </c>
      <c r="N28" s="13" t="str">
        <v/>
      </c>
    </row>
    <row r="29">
      <c r="A29" s="9">
        <v>21</v>
      </c>
      <c r="B29" s="9" t="str">
        <v>On-Page &amp; Content</v>
      </c>
      <c r="C29" s="9" t="str">
        <v>Interlink every new article to 3-5 money pages</v>
      </c>
      <c r="D29" s="9" t="str">
        <v>Moves authority to converting URLs.</v>
      </c>
      <c r="E29" s="14" t="str">
        <v>P0</v>
      </c>
      <c r="F29" s="9" t="str">
        <v>S</v>
      </c>
      <c r="G29" s="9" t="str">
        <v>Always-on</v>
      </c>
      <c r="H29" s="9" t="str">
        <v/>
      </c>
      <c r="I29" s="15" t="str">
        <v>Not started</v>
      </c>
      <c r="J29" s="9" t="str">
        <v>Internal link density up</v>
      </c>
      <c r="K29" s="9">
        <v>9</v>
      </c>
      <c r="L29" s="9">
        <f>IF(I29="Done",1,0)</f>
      </c>
      <c r="M29" s="9">
        <f>L29*K29</f>
      </c>
      <c r="N29" s="9" t="str">
        <v/>
      </c>
    </row>
    <row r="30">
      <c r="A30" s="13">
        <v>22</v>
      </c>
      <c r="B30" s="13" t="str">
        <v>On-Page &amp; Content</v>
      </c>
      <c r="C30" s="13" t="str">
        <v>Refresh older posts with new data and links</v>
      </c>
      <c r="D30" s="13" t="str">
        <v>Recover rankings from content decay.</v>
      </c>
      <c r="E30" s="17" t="str">
        <v>P1</v>
      </c>
      <c r="F30" s="13" t="str">
        <v>M</v>
      </c>
      <c r="G30" s="13" t="str">
        <v>Monthly</v>
      </c>
      <c r="H30" s="13" t="str">
        <v/>
      </c>
      <c r="I30" s="15" t="str">
        <v>Not started</v>
      </c>
      <c r="J30" s="13" t="str">
        <v>Updated posts regain clicks</v>
      </c>
      <c r="K30" s="13">
        <v>7</v>
      </c>
      <c r="L30" s="13">
        <f>IF(I30="Done",1,0)</f>
      </c>
      <c r="M30" s="13">
        <f>L30*K30</f>
      </c>
      <c r="N30" s="13" t="str">
        <v/>
      </c>
    </row>
    <row r="31">
      <c r="A31" s="2" t="str">
        <v/>
      </c>
      <c r="B31" s="18" t="str">
        <v>PRODUCT &amp; COLLECTION SECTION</v>
      </c>
    </row>
    <row r="32">
      <c r="A32" s="9">
        <v>23</v>
      </c>
      <c r="B32" s="9" t="str">
        <v>Product &amp; Collection</v>
      </c>
      <c r="C32" s="9" t="str">
        <v>Expand thin product descriptions with use-case detail</v>
      </c>
      <c r="D32" s="9" t="str">
        <v>Increases relevance and conversion confidence.</v>
      </c>
      <c r="E32" s="14" t="str">
        <v>P0</v>
      </c>
      <c r="F32" s="9" t="str">
        <v>M</v>
      </c>
      <c r="G32" s="9" t="str">
        <v>Weekly</v>
      </c>
      <c r="H32" s="9" t="str">
        <v/>
      </c>
      <c r="I32" s="15" t="str">
        <v>Not started</v>
      </c>
      <c r="J32" s="9" t="str">
        <v>Thin pages reduced</v>
      </c>
      <c r="K32" s="9">
        <v>8</v>
      </c>
      <c r="L32" s="9">
        <f>IF(I32="Done",1,0)</f>
      </c>
      <c r="M32" s="9">
        <f>L32*K32</f>
      </c>
      <c r="N32" s="9" t="str">
        <v/>
      </c>
    </row>
    <row r="33">
      <c r="A33" s="13">
        <v>24</v>
      </c>
      <c r="B33" s="13" t="str">
        <v>Product &amp; Collection</v>
      </c>
      <c r="C33" s="13" t="str">
        <v>Add unique copy to collection pages</v>
      </c>
      <c r="D33" s="13" t="str">
        <v>Helps category pages rank for broader terms.</v>
      </c>
      <c r="E33" s="14" t="str">
        <v>P0</v>
      </c>
      <c r="F33" s="13" t="str">
        <v>M</v>
      </c>
      <c r="G33" s="13" t="str">
        <v>Monthly</v>
      </c>
      <c r="H33" s="13" t="str">
        <v/>
      </c>
      <c r="I33" s="15" t="str">
        <v>Not started</v>
      </c>
      <c r="J33" s="13" t="str">
        <v>Collection traffic up</v>
      </c>
      <c r="K33" s="13">
        <v>8</v>
      </c>
      <c r="L33" s="13">
        <f>IF(I33="Done",1,0)</f>
      </c>
      <c r="M33" s="13">
        <f>L33*K33</f>
      </c>
      <c r="N33" s="13" t="str">
        <v/>
      </c>
    </row>
    <row r="34">
      <c r="A34" s="9">
        <v>25</v>
      </c>
      <c r="B34" s="9" t="str">
        <v>Product &amp; Collection</v>
      </c>
      <c r="C34" s="9" t="str">
        <v>Optimize product image alt text with intent language</v>
      </c>
      <c r="D34" s="9" t="str">
        <v>Improves image SEO and accessibility.</v>
      </c>
      <c r="E34" s="17" t="str">
        <v>P1</v>
      </c>
      <c r="F34" s="9" t="str">
        <v>S</v>
      </c>
      <c r="G34" s="9" t="str">
        <v>Weekly</v>
      </c>
      <c r="H34" s="9" t="str">
        <v/>
      </c>
      <c r="I34" s="15" t="str">
        <v>Not started</v>
      </c>
      <c r="J34" s="9" t="str">
        <v>Alt coverage &gt; 95%</v>
      </c>
      <c r="K34" s="9">
        <v>6</v>
      </c>
      <c r="L34" s="9">
        <f>IF(I34="Done",1,0)</f>
      </c>
      <c r="M34" s="9">
        <f>L34*K34</f>
      </c>
      <c r="N34" s="9" t="str">
        <v/>
      </c>
    </row>
    <row r="35">
      <c r="A35" s="13">
        <v>26</v>
      </c>
      <c r="B35" s="13" t="str">
        <v>Product &amp; Collection</v>
      </c>
      <c r="C35" s="13" t="str">
        <v>Surface related products and linked collections</v>
      </c>
      <c r="D35" s="13" t="str">
        <v>Boosts crawl paths and average order value.</v>
      </c>
      <c r="E35" s="17" t="str">
        <v>P1</v>
      </c>
      <c r="F35" s="13" t="str">
        <v>S</v>
      </c>
      <c r="G35" s="13" t="str">
        <v>Monthly</v>
      </c>
      <c r="H35" s="13" t="str">
        <v/>
      </c>
      <c r="I35" s="15" t="str">
        <v>Not started</v>
      </c>
      <c r="J35" s="13" t="str">
        <v>Cross-link CTR up</v>
      </c>
      <c r="K35" s="13">
        <v>6</v>
      </c>
      <c r="L35" s="13">
        <f>IF(I35="Done",1,0)</f>
      </c>
      <c r="M35" s="13">
        <f>L35*K35</f>
      </c>
      <c r="N35" s="13" t="str">
        <v/>
      </c>
    </row>
    <row r="36">
      <c r="A36" s="9">
        <v>27</v>
      </c>
      <c r="B36" s="9" t="str">
        <v>Product &amp; Collection</v>
      </c>
      <c r="C36" s="9" t="str">
        <v>Align blog CTAs to relevant products and bundles</v>
      </c>
      <c r="D36" s="9" t="str">
        <v>Converts informational traffic to sales intent.</v>
      </c>
      <c r="E36" s="14" t="str">
        <v>P0</v>
      </c>
      <c r="F36" s="9" t="str">
        <v>S</v>
      </c>
      <c r="G36" s="9" t="str">
        <v>Weekly</v>
      </c>
      <c r="H36" s="9" t="str">
        <v/>
      </c>
      <c r="I36" s="15" t="str">
        <v>Not started</v>
      </c>
      <c r="J36" s="9" t="str">
        <v>Blog-assisted revenue up</v>
      </c>
      <c r="K36" s="9">
        <v>9</v>
      </c>
      <c r="L36" s="9">
        <f>IF(I36="Done",1,0)</f>
      </c>
      <c r="M36" s="9">
        <f>L36*K36</f>
      </c>
      <c r="N36" s="9" t="str">
        <v/>
      </c>
    </row>
    <row r="37">
      <c r="A37" s="13">
        <v>28</v>
      </c>
      <c r="B37" s="13" t="str">
        <v>Product &amp; Collection</v>
      </c>
      <c r="C37" s="13" t="str">
        <v>Review faceted filter pages for indexation strategy</v>
      </c>
      <c r="D37" s="13" t="str">
        <v>Prevents index bloat while preserving demand pages.</v>
      </c>
      <c r="E37" s="17" t="str">
        <v>P1</v>
      </c>
      <c r="F37" s="13" t="str">
        <v>L</v>
      </c>
      <c r="G37" s="13" t="str">
        <v>Quarterly</v>
      </c>
      <c r="H37" s="13" t="str">
        <v/>
      </c>
      <c r="I37" s="15" t="str">
        <v>Not started</v>
      </c>
      <c r="J37" s="13" t="str">
        <v>Useful facets indexed only</v>
      </c>
      <c r="K37" s="13">
        <v>7</v>
      </c>
      <c r="L37" s="13">
        <f>IF(I37="Done",1,0)</f>
      </c>
      <c r="M37" s="13">
        <f>L37*K37</f>
      </c>
      <c r="N37" s="13" t="str">
        <v/>
      </c>
    </row>
    <row r="38">
      <c r="A38" s="9">
        <v>29</v>
      </c>
      <c r="B38" s="9" t="str">
        <v>Product &amp; Collection</v>
      </c>
      <c r="C38" s="9" t="str">
        <v>Create buyer guides that compare best-seller products</v>
      </c>
      <c r="D38" s="9" t="str">
        <v>Targets high-intent comparison queries.</v>
      </c>
      <c r="E38" s="17" t="str">
        <v>P1</v>
      </c>
      <c r="F38" s="9" t="str">
        <v>M</v>
      </c>
      <c r="G38" s="9" t="str">
        <v>Monthly</v>
      </c>
      <c r="H38" s="9" t="str">
        <v/>
      </c>
      <c r="I38" s="15" t="str">
        <v>Not started</v>
      </c>
      <c r="J38" s="9" t="str">
        <v>Guide pages rank in top 20</v>
      </c>
      <c r="K38" s="9">
        <v>7</v>
      </c>
      <c r="L38" s="9">
        <f>IF(I38="Done",1,0)</f>
      </c>
      <c r="M38" s="9">
        <f>L38*K38</f>
      </c>
      <c r="N38" s="9" t="str">
        <v/>
      </c>
    </row>
    <row r="39">
      <c r="A39" s="2" t="str">
        <v/>
      </c>
      <c r="B39" s="18" t="str">
        <v>AUTHORITY &amp; GROWTH SECTION</v>
      </c>
    </row>
    <row r="40">
      <c r="A40" s="13">
        <v>30</v>
      </c>
      <c r="B40" s="13" t="str">
        <v>Authority &amp; Growth</v>
      </c>
      <c r="C40" s="13" t="str">
        <v>Run backlink outreach to complementary brands and publishers</v>
      </c>
      <c r="D40" s="13" t="str">
        <v>Builds domain authority and ranking potential.</v>
      </c>
      <c r="E40" s="14" t="str">
        <v>P0</v>
      </c>
      <c r="F40" s="13" t="str">
        <v>L</v>
      </c>
      <c r="G40" s="13" t="str">
        <v>Monthly</v>
      </c>
      <c r="H40" s="13" t="str">
        <v/>
      </c>
      <c r="I40" s="15" t="str">
        <v>Not started</v>
      </c>
      <c r="J40" s="13" t="str">
        <v>New referring domains</v>
      </c>
      <c r="K40" s="13">
        <v>10</v>
      </c>
      <c r="L40" s="13">
        <f>IF(I40="Done",1,0)</f>
      </c>
      <c r="M40" s="13">
        <f>L40*K40</f>
      </c>
      <c r="N40" s="13" t="str">
        <v/>
      </c>
    </row>
    <row r="41">
      <c r="A41" s="9">
        <v>31</v>
      </c>
      <c r="B41" s="9" t="str">
        <v>Authority &amp; Growth</v>
      </c>
      <c r="C41" s="9" t="str">
        <v>Repurpose blogs to social channels with tracked links</v>
      </c>
      <c r="D41" s="9" t="str">
        <v>Amplifies reach and drives incremental traffic.</v>
      </c>
      <c r="E41" s="17" t="str">
        <v>P1</v>
      </c>
      <c r="F41" s="9" t="str">
        <v>M</v>
      </c>
      <c r="G41" s="9" t="str">
        <v>Weekly</v>
      </c>
      <c r="H41" s="9" t="str">
        <v/>
      </c>
      <c r="I41" s="15" t="str">
        <v>Not started</v>
      </c>
      <c r="J41" s="9" t="str">
        <v>Social referral clicks</v>
      </c>
      <c r="K41" s="9">
        <v>6</v>
      </c>
      <c r="L41" s="9">
        <f>IF(I41="Done",1,0)</f>
      </c>
      <c r="M41" s="9">
        <f>L41*K41</f>
      </c>
      <c r="N41" s="9" t="str">
        <v/>
      </c>
    </row>
    <row r="42">
      <c r="A42" s="13">
        <v>32</v>
      </c>
      <c r="B42" s="13" t="str">
        <v>Authority &amp; Growth</v>
      </c>
      <c r="C42" s="13" t="str">
        <v>Publish one definitive pillar page per core category</v>
      </c>
      <c r="D42" s="13" t="str">
        <v>Creates ranking hubs for topic clusters.</v>
      </c>
      <c r="E42" s="14" t="str">
        <v>P0</v>
      </c>
      <c r="F42" s="13" t="str">
        <v>L</v>
      </c>
      <c r="G42" s="13" t="str">
        <v>Quarterly</v>
      </c>
      <c r="H42" s="13" t="str">
        <v/>
      </c>
      <c r="I42" s="15" t="str">
        <v>Not started</v>
      </c>
      <c r="J42" s="13" t="str">
        <v>Pillar pages launched</v>
      </c>
      <c r="K42" s="13">
        <v>9</v>
      </c>
      <c r="L42" s="13">
        <f>IF(I42="Done",1,0)</f>
      </c>
      <c r="M42" s="13">
        <f>L42*K42</f>
      </c>
      <c r="N42" s="13" t="str">
        <v/>
      </c>
    </row>
    <row r="43">
      <c r="A43" s="9">
        <v>33</v>
      </c>
      <c r="B43" s="9" t="str">
        <v>Authority &amp; Growth</v>
      </c>
      <c r="C43" s="9" t="str">
        <v>Track and improve top 20 landing pages each month</v>
      </c>
      <c r="D43" s="9" t="str">
        <v>Compounds gains where traffic already exists.</v>
      </c>
      <c r="E43" s="17" t="str">
        <v>P1</v>
      </c>
      <c r="F43" s="9" t="str">
        <v>M</v>
      </c>
      <c r="G43" s="9" t="str">
        <v>Monthly</v>
      </c>
      <c r="H43" s="9" t="str">
        <v/>
      </c>
      <c r="I43" s="15" t="str">
        <v>Not started</v>
      </c>
      <c r="J43" s="9" t="str">
        <v>Top page click growth</v>
      </c>
      <c r="K43" s="9">
        <v>8</v>
      </c>
      <c r="L43" s="9">
        <f>IF(I43="Done",1,0)</f>
      </c>
      <c r="M43" s="9">
        <f>L43*K43</f>
      </c>
      <c r="N43" s="9" t="str">
        <v/>
      </c>
    </row>
    <row r="44">
      <c r="A44" s="13">
        <v>34</v>
      </c>
      <c r="B44" s="13" t="str">
        <v>Authority &amp; Growth</v>
      </c>
      <c r="C44" s="13" t="str">
        <v>Test SERP titles quarterly for higher CTR</v>
      </c>
      <c r="D44" s="13" t="str">
        <v>Small copy changes can unlock major traffic gains.</v>
      </c>
      <c r="E44" s="20" t="str">
        <v>P2</v>
      </c>
      <c r="F44" s="13" t="str">
        <v>S</v>
      </c>
      <c r="G44" s="13" t="str">
        <v>Quarterly</v>
      </c>
      <c r="H44" s="13" t="str">
        <v/>
      </c>
      <c r="I44" s="15" t="str">
        <v>Not started</v>
      </c>
      <c r="J44" s="13" t="str">
        <v>CTR wins logged</v>
      </c>
      <c r="K44" s="13">
        <v>5</v>
      </c>
      <c r="L44" s="13">
        <f>IF(I44="Done",1,0)</f>
      </c>
      <c r="M44" s="13">
        <f>L44*K44</f>
      </c>
      <c r="N44" s="13" t="str">
        <v/>
      </c>
    </row>
  </sheetData>
  <autoFilter ref="A5:N44"/>
  <mergeCells count="3">
    <mergeCell ref="A1:N1"/>
    <mergeCell ref="A2:N2"/>
    <mergeCell ref="B6:N6"/>
  </mergeCells>
  <ignoredErrors>
    <ignoredError numberStoredAsText="1" sqref="A1:N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cols>
    <col min="1" max="1" width="40.83203125" customWidth="1"/>
    <col min="2" max="2" width="18.83203125" customWidth="1"/>
    <col min="3" max="3" width="15.83203125" customWidth="1"/>
    <col min="4" max="4" width="45.83203125" customWidth="1"/>
  </cols>
  <sheetData>
    <row r="1" ht="28" customHeight="1">
      <c r="A1" s="21" t="str">
        <v>Shopify SEO Dashboard</v>
      </c>
    </row>
    <row r="2" ht="20" customHeight="1">
      <c r="A2" s="22" t="str">
        <v>Track weekly execution and weighted impact from the Checklist tab.</v>
      </c>
    </row>
    <row r="4">
      <c r="A4" s="23" t="str">
        <v>Metric</v>
      </c>
      <c r="B4" s="24" t="str">
        <v>Current</v>
      </c>
      <c r="C4" s="24" t="str">
        <v>Target</v>
      </c>
      <c r="D4" s="24" t="str">
        <v>Action</v>
      </c>
    </row>
    <row r="5">
      <c r="A5" s="25" t="str">
        <v>Total actions</v>
      </c>
      <c r="B5" s="26">
        <f>COUNT(Checklist!A:A)</f>
      </c>
      <c r="C5" s="9" t="str">
        <v/>
      </c>
      <c r="D5" s="9" t="str">
        <v/>
      </c>
    </row>
    <row r="6">
      <c r="A6" s="27" t="str">
        <v>Completed actions</v>
      </c>
      <c r="B6" s="28">
        <f>COUNTIFS(Checklist!I:I,"Done")</f>
      </c>
      <c r="C6" s="9" t="str">
        <v/>
      </c>
      <c r="D6" s="9" t="str">
        <v/>
      </c>
    </row>
    <row r="7">
      <c r="A7" s="27" t="str">
        <v>In progress</v>
      </c>
      <c r="B7" s="28">
        <f>COUNTIFS(Checklist!I:I,"In progress")</f>
      </c>
      <c r="C7" s="9" t="str">
        <v/>
      </c>
      <c r="D7" s="9" t="str">
        <v/>
      </c>
    </row>
    <row r="8">
      <c r="A8" s="27" t="str">
        <v>Blocked</v>
      </c>
      <c r="B8" s="28">
        <f>COUNTIFS(Checklist!I:I,"Blocked")</f>
      </c>
      <c r="C8" s="9" t="str">
        <v>0</v>
      </c>
      <c r="D8" s="9" t="str">
        <v>Clear blockers in current sprint</v>
      </c>
    </row>
    <row r="9">
      <c r="A9" s="27" t="str">
        <v>Completion rate</v>
      </c>
      <c r="B9" s="29">
        <f>IFERROR(B6/B5,0)</f>
      </c>
      <c r="C9" s="9" t="str">
        <v>&gt;=0.7</v>
      </c>
      <c r="D9" s="9" t="str">
        <v>Drive this above 70%</v>
      </c>
    </row>
    <row r="10">
      <c r="A10" s="27" t="str">
        <v>P0 remaining</v>
      </c>
      <c r="B10" s="29">
        <f>COUNTIFS(Checklist!E:E,"P0",Checklist!I:I,"&lt;&gt;Done")</f>
      </c>
      <c r="C10" s="9" t="str">
        <v>0</v>
      </c>
      <c r="D10" s="9" t="str">
        <v>Complete all P0 tasks first</v>
      </c>
    </row>
    <row r="11">
      <c r="A11" s="27" t="str">
        <v>P1 remaining</v>
      </c>
      <c r="B11" s="29">
        <f>COUNTIFS(Checklist!E:E,"P1",Checklist!I:I,"&lt;&gt;Done")</f>
      </c>
      <c r="C11" s="9" t="str">
        <v>&lt;=3</v>
      </c>
      <c r="D11" s="9" t="str">
        <v>Reduce weekly</v>
      </c>
    </row>
    <row r="12">
      <c r="A12" s="27" t="str">
        <v>Weighted points earned</v>
      </c>
      <c r="B12" s="29">
        <f>SUM(Checklist!M:M)</f>
      </c>
      <c r="C12" s="9" t="str">
        <v/>
      </c>
      <c r="D12" s="9" t="str">
        <v/>
      </c>
    </row>
    <row r="13">
      <c r="A13" s="27" t="str">
        <v>Max weighted points</v>
      </c>
      <c r="B13" s="29">
        <f>SUM(Checklist!K:K)</f>
      </c>
      <c r="C13" s="9" t="str">
        <v/>
      </c>
      <c r="D13" s="9" t="str">
        <v/>
      </c>
    </row>
    <row r="14">
      <c r="A14" s="27" t="str">
        <v>Weighted completion</v>
      </c>
      <c r="B14" s="29">
        <f>IFERROR(B12/B13,0)</f>
      </c>
      <c r="C14" s="9" t="str">
        <v>&gt;=0.75</v>
      </c>
      <c r="D14" s="9" t="str">
        <v>Prioritize higher weight items</v>
      </c>
    </row>
    <row r="15">
      <c r="A15" s="27" t="str">
        <v>Quick wins pending (Effort S)</v>
      </c>
      <c r="B15" s="29">
        <f>COUNTIFS(Checklist!F:F,"S",Checklist!I:I,"&lt;&gt;Done")</f>
      </c>
      <c r="C15" s="9" t="str">
        <v>0</v>
      </c>
      <c r="D15" s="9" t="str">
        <v>Ship easy wins weekly</v>
      </c>
    </row>
    <row r="16">
      <c r="A16" s="27" t="str">
        <v>Reviews or backlinks added this month</v>
      </c>
      <c r="B16" s="29" t="str">
        <v/>
      </c>
      <c r="C16" s="9" t="str">
        <v>&gt;=4</v>
      </c>
      <c r="D16" s="9" t="str">
        <v>Log links and mentions in Notes</v>
      </c>
    </row>
  </sheetData>
  <autoFilter ref="A4:D16"/>
  <mergeCells count="2">
    <mergeCell ref="A1:D1"/>
    <mergeCell ref="A2:D2"/>
  </mergeCells>
  <ignoredErrors>
    <ignoredError numberStoredAsText="1" sqref="A1:D1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28"/>
  <sheetViews>
    <sheetView workbookViewId="0"/>
  </sheetViews>
  <cols>
    <col min="1" max="1" width="12.83203125" customWidth="1"/>
    <col min="2" max="2" width="26.83203125" customWidth="1"/>
    <col min="3" max="3" width="26.83203125" customWidth="1"/>
    <col min="4" max="4" width="12.83203125" customWidth="1"/>
    <col min="5" max="5" width="28.83203125" customWidth="1"/>
    <col min="6" max="6" width="24.83203125" customWidth="1"/>
    <col min="7" max="7" width="24.83203125" customWidth="1"/>
    <col min="8" max="8" width="12.83203125" customWidth="1"/>
    <col min="9" max="9" width="14.83203125" customWidth="1"/>
    <col min="10" max="10" width="30.83203125" customWidth="1"/>
  </cols>
  <sheetData>
    <row r="1" ht="28" customHeight="1">
      <c r="A1" s="21" t="str">
        <v>Shopify 90-Day SEO Content Planner</v>
      </c>
    </row>
    <row r="2" ht="20" customHeight="1">
      <c r="A2" s="22" t="str">
        <v>Plan clusters first, publish consistently, and interlink every article to high-value pages.</v>
      </c>
    </row>
    <row r="4">
      <c r="A4" s="30" t="str">
        <v>Week Start</v>
      </c>
      <c r="B4" s="31" t="str">
        <v>Cluster</v>
      </c>
      <c r="C4" s="31" t="str">
        <v>Primary Keyword</v>
      </c>
      <c r="D4" s="31" t="str">
        <v>Intent</v>
      </c>
      <c r="E4" s="31" t="str">
        <v>Target URL</v>
      </c>
      <c r="F4" s="31" t="str">
        <v>Internal Links To</v>
      </c>
      <c r="G4" s="31" t="str">
        <v>Primary CTA</v>
      </c>
      <c r="H4" s="31" t="str">
        <v>Publish Date</v>
      </c>
      <c r="I4" s="31" t="str">
        <v>Status</v>
      </c>
      <c r="J4" s="31" t="str">
        <v>Notes</v>
      </c>
    </row>
    <row r="5">
      <c r="A5" s="9" t="str">
        <v>2026-03-02</v>
      </c>
      <c r="B5" s="9" t="str">
        <v>Product care</v>
      </c>
      <c r="C5" s="9" t="str">
        <v>how to clean running shoes</v>
      </c>
      <c r="D5" s="9" t="str">
        <v>Informational</v>
      </c>
      <c r="E5" s="9" t="str">
        <v>/blogs/news/clean-running-shoes</v>
      </c>
      <c r="F5" s="9" t="str">
        <v>/collections/running-shoes</v>
      </c>
      <c r="G5" s="9" t="str">
        <v>Shop running shoes</v>
      </c>
      <c r="H5" s="9" t="str">
        <v>2026-03-05</v>
      </c>
      <c r="I5" s="9" t="str">
        <v>In progress</v>
      </c>
      <c r="J5" s="9" t="str">
        <v/>
      </c>
    </row>
    <row r="6">
      <c r="A6" s="9" t="str">
        <v>2026-03-09</v>
      </c>
      <c r="B6" s="9" t="str">
        <v>Gift intent</v>
      </c>
      <c r="C6" s="9" t="str">
        <v>best gifts for new runners</v>
      </c>
      <c r="D6" s="9" t="str">
        <v>Commercial</v>
      </c>
      <c r="E6" s="9" t="str">
        <v>/blogs/news/gifts-for-runners</v>
      </c>
      <c r="F6" s="9" t="str">
        <v>/collections/gifts</v>
      </c>
      <c r="G6" s="9" t="str">
        <v>Shop gift collection</v>
      </c>
      <c r="H6" s="9" t="str">
        <v/>
      </c>
      <c r="I6" s="9" t="str">
        <v>Not started</v>
      </c>
      <c r="J6" s="9" t="str">
        <v/>
      </c>
    </row>
    <row r="7">
      <c r="A7" s="9" t="str">
        <v>2026-03-16</v>
      </c>
      <c r="B7" s="9" t="str">
        <v>Comparison</v>
      </c>
      <c r="C7" s="9" t="str">
        <v>trail vs road running shoes</v>
      </c>
      <c r="D7" s="9" t="str">
        <v>Commercial</v>
      </c>
      <c r="E7" s="9" t="str">
        <v>/blogs/news/trail-vs-road</v>
      </c>
      <c r="F7" s="9" t="str">
        <v>/collections/trail-running-shoes</v>
      </c>
      <c r="G7" s="9" t="str">
        <v>Compare best sellers</v>
      </c>
      <c r="H7" s="9" t="str">
        <v/>
      </c>
      <c r="I7" s="9" t="str">
        <v>Not started</v>
      </c>
      <c r="J7" s="9" t="str">
        <v/>
      </c>
    </row>
    <row r="8">
      <c r="A8" s="9" t="str">
        <v>2026-03-23</v>
      </c>
      <c r="B8" s="9" t="str">
        <v>Buying guide</v>
      </c>
      <c r="C8" s="9" t="str">
        <v>best running shoes for flat feet</v>
      </c>
      <c r="D8" s="9" t="str">
        <v>Commercial</v>
      </c>
      <c r="E8" s="9" t="str">
        <v>/blogs/news/best-shoes-flat-feet</v>
      </c>
      <c r="F8" s="9" t="str">
        <v>/products/top-model</v>
      </c>
      <c r="G8" s="9" t="str">
        <v>See fit guide</v>
      </c>
      <c r="H8" s="9" t="str">
        <v/>
      </c>
      <c r="I8" s="9" t="str">
        <v>Not started</v>
      </c>
      <c r="J8" s="9" t="str">
        <v/>
      </c>
    </row>
    <row r="9">
      <c r="A9" s="9" t="str">
        <v/>
      </c>
      <c r="B9" s="9" t="str">
        <v/>
      </c>
      <c r="C9" s="9" t="str">
        <v/>
      </c>
      <c r="D9" s="9" t="str">
        <v/>
      </c>
      <c r="E9" s="9" t="str">
        <v/>
      </c>
      <c r="F9" s="9" t="str">
        <v/>
      </c>
      <c r="G9" s="9" t="str">
        <v/>
      </c>
      <c r="H9" s="9" t="str">
        <v/>
      </c>
      <c r="I9" s="9" t="str">
        <v>Not started</v>
      </c>
      <c r="J9" s="9" t="str">
        <v/>
      </c>
    </row>
    <row r="10">
      <c r="A10" s="9" t="str">
        <v/>
      </c>
      <c r="B10" s="9" t="str">
        <v/>
      </c>
      <c r="C10" s="9" t="str">
        <v/>
      </c>
      <c r="D10" s="9" t="str">
        <v/>
      </c>
      <c r="E10" s="9" t="str">
        <v/>
      </c>
      <c r="F10" s="9" t="str">
        <v/>
      </c>
      <c r="G10" s="9" t="str">
        <v/>
      </c>
      <c r="H10" s="9" t="str">
        <v/>
      </c>
      <c r="I10" s="9" t="str">
        <v>Not started</v>
      </c>
      <c r="J10" s="9" t="str">
        <v/>
      </c>
    </row>
    <row r="11">
      <c r="A11" s="9" t="str">
        <v/>
      </c>
      <c r="B11" s="9" t="str">
        <v/>
      </c>
      <c r="C11" s="9" t="str">
        <v/>
      </c>
      <c r="D11" s="9" t="str">
        <v/>
      </c>
      <c r="E11" s="9" t="str">
        <v/>
      </c>
      <c r="F11" s="9" t="str">
        <v/>
      </c>
      <c r="G11" s="9" t="str">
        <v/>
      </c>
      <c r="H11" s="9" t="str">
        <v/>
      </c>
      <c r="I11" s="9" t="str">
        <v>Not started</v>
      </c>
      <c r="J11" s="9" t="str">
        <v/>
      </c>
    </row>
    <row r="12">
      <c r="A12" s="9" t="str">
        <v/>
      </c>
      <c r="B12" s="9" t="str">
        <v/>
      </c>
      <c r="C12" s="9" t="str">
        <v/>
      </c>
      <c r="D12" s="9" t="str">
        <v/>
      </c>
      <c r="E12" s="9" t="str">
        <v/>
      </c>
      <c r="F12" s="9" t="str">
        <v/>
      </c>
      <c r="G12" s="9" t="str">
        <v/>
      </c>
      <c r="H12" s="9" t="str">
        <v/>
      </c>
      <c r="I12" s="9" t="str">
        <v>Not started</v>
      </c>
      <c r="J12" s="9" t="str">
        <v/>
      </c>
    </row>
    <row r="13">
      <c r="A13" s="9" t="str">
        <v/>
      </c>
      <c r="B13" s="9" t="str">
        <v/>
      </c>
      <c r="C13" s="9" t="str">
        <v/>
      </c>
      <c r="D13" s="9" t="str">
        <v/>
      </c>
      <c r="E13" s="9" t="str">
        <v/>
      </c>
      <c r="F13" s="9" t="str">
        <v/>
      </c>
      <c r="G13" s="9" t="str">
        <v/>
      </c>
      <c r="H13" s="9" t="str">
        <v/>
      </c>
      <c r="I13" s="9" t="str">
        <v>Not started</v>
      </c>
      <c r="J13" s="9" t="str">
        <v/>
      </c>
    </row>
    <row r="14">
      <c r="A14" s="9" t="str">
        <v/>
      </c>
      <c r="B14" s="9" t="str">
        <v/>
      </c>
      <c r="C14" s="9" t="str">
        <v/>
      </c>
      <c r="D14" s="9" t="str">
        <v/>
      </c>
      <c r="E14" s="9" t="str">
        <v/>
      </c>
      <c r="F14" s="9" t="str">
        <v/>
      </c>
      <c r="G14" s="9" t="str">
        <v/>
      </c>
      <c r="H14" s="9" t="str">
        <v/>
      </c>
      <c r="I14" s="9" t="str">
        <v>Not started</v>
      </c>
      <c r="J14" s="9" t="str">
        <v/>
      </c>
    </row>
    <row r="15">
      <c r="A15" s="9" t="str">
        <v/>
      </c>
      <c r="B15" s="9" t="str">
        <v/>
      </c>
      <c r="C15" s="9" t="str">
        <v/>
      </c>
      <c r="D15" s="9" t="str">
        <v/>
      </c>
      <c r="E15" s="9" t="str">
        <v/>
      </c>
      <c r="F15" s="9" t="str">
        <v/>
      </c>
      <c r="G15" s="9" t="str">
        <v/>
      </c>
      <c r="H15" s="9" t="str">
        <v/>
      </c>
      <c r="I15" s="9" t="str">
        <v>Not started</v>
      </c>
      <c r="J15" s="9" t="str">
        <v/>
      </c>
    </row>
    <row r="16">
      <c r="A16" s="9" t="str">
        <v/>
      </c>
      <c r="B16" s="9" t="str">
        <v/>
      </c>
      <c r="C16" s="9" t="str">
        <v/>
      </c>
      <c r="D16" s="9" t="str">
        <v/>
      </c>
      <c r="E16" s="9" t="str">
        <v/>
      </c>
      <c r="F16" s="9" t="str">
        <v/>
      </c>
      <c r="G16" s="9" t="str">
        <v/>
      </c>
      <c r="H16" s="9" t="str">
        <v/>
      </c>
      <c r="I16" s="9" t="str">
        <v>Not started</v>
      </c>
      <c r="J16" s="9" t="str">
        <v/>
      </c>
    </row>
    <row r="17">
      <c r="A17" s="9" t="str">
        <v/>
      </c>
      <c r="B17" s="9" t="str">
        <v/>
      </c>
      <c r="C17" s="9" t="str">
        <v/>
      </c>
      <c r="D17" s="9" t="str">
        <v/>
      </c>
      <c r="E17" s="9" t="str">
        <v/>
      </c>
      <c r="F17" s="9" t="str">
        <v/>
      </c>
      <c r="G17" s="9" t="str">
        <v/>
      </c>
      <c r="H17" s="9" t="str">
        <v/>
      </c>
      <c r="I17" s="9" t="str">
        <v>Not started</v>
      </c>
      <c r="J17" s="9" t="str">
        <v/>
      </c>
    </row>
    <row r="18">
      <c r="A18" s="9" t="str">
        <v/>
      </c>
      <c r="B18" s="9" t="str">
        <v/>
      </c>
      <c r="C18" s="9" t="str">
        <v/>
      </c>
      <c r="D18" s="9" t="str">
        <v/>
      </c>
      <c r="E18" s="9" t="str">
        <v/>
      </c>
      <c r="F18" s="9" t="str">
        <v/>
      </c>
      <c r="G18" s="9" t="str">
        <v/>
      </c>
      <c r="H18" s="9" t="str">
        <v/>
      </c>
      <c r="I18" s="9" t="str">
        <v>Not started</v>
      </c>
      <c r="J18" s="9" t="str">
        <v/>
      </c>
    </row>
    <row r="19">
      <c r="A19" s="9" t="str">
        <v/>
      </c>
      <c r="B19" s="9" t="str">
        <v/>
      </c>
      <c r="C19" s="9" t="str">
        <v/>
      </c>
      <c r="D19" s="9" t="str">
        <v/>
      </c>
      <c r="E19" s="9" t="str">
        <v/>
      </c>
      <c r="F19" s="9" t="str">
        <v/>
      </c>
      <c r="G19" s="9" t="str">
        <v/>
      </c>
      <c r="H19" s="9" t="str">
        <v/>
      </c>
      <c r="I19" s="9" t="str">
        <v>Not started</v>
      </c>
      <c r="J19" s="9" t="str">
        <v/>
      </c>
    </row>
    <row r="20">
      <c r="A20" s="9" t="str">
        <v/>
      </c>
      <c r="B20" s="9" t="str">
        <v/>
      </c>
      <c r="C20" s="9" t="str">
        <v/>
      </c>
      <c r="D20" s="9" t="str">
        <v/>
      </c>
      <c r="E20" s="9" t="str">
        <v/>
      </c>
      <c r="F20" s="9" t="str">
        <v/>
      </c>
      <c r="G20" s="9" t="str">
        <v/>
      </c>
      <c r="H20" s="9" t="str">
        <v/>
      </c>
      <c r="I20" s="9" t="str">
        <v>Not started</v>
      </c>
      <c r="J20" s="9" t="str">
        <v/>
      </c>
    </row>
    <row r="21">
      <c r="A21" s="9" t="str">
        <v/>
      </c>
      <c r="B21" s="9" t="str">
        <v/>
      </c>
      <c r="C21" s="9" t="str">
        <v/>
      </c>
      <c r="D21" s="9" t="str">
        <v/>
      </c>
      <c r="E21" s="9" t="str">
        <v/>
      </c>
      <c r="F21" s="9" t="str">
        <v/>
      </c>
      <c r="G21" s="9" t="str">
        <v/>
      </c>
      <c r="H21" s="9" t="str">
        <v/>
      </c>
      <c r="I21" s="9" t="str">
        <v>Not started</v>
      </c>
      <c r="J21" s="9" t="str">
        <v/>
      </c>
    </row>
    <row r="22">
      <c r="A22" s="9" t="str">
        <v/>
      </c>
      <c r="B22" s="9" t="str">
        <v/>
      </c>
      <c r="C22" s="9" t="str">
        <v/>
      </c>
      <c r="D22" s="9" t="str">
        <v/>
      </c>
      <c r="E22" s="9" t="str">
        <v/>
      </c>
      <c r="F22" s="9" t="str">
        <v/>
      </c>
      <c r="G22" s="9" t="str">
        <v/>
      </c>
      <c r="H22" s="9" t="str">
        <v/>
      </c>
      <c r="I22" s="9" t="str">
        <v>Not started</v>
      </c>
      <c r="J22" s="9" t="str">
        <v/>
      </c>
    </row>
    <row r="23">
      <c r="A23" s="9" t="str">
        <v/>
      </c>
      <c r="B23" s="9" t="str">
        <v/>
      </c>
      <c r="C23" s="9" t="str">
        <v/>
      </c>
      <c r="D23" s="9" t="str">
        <v/>
      </c>
      <c r="E23" s="9" t="str">
        <v/>
      </c>
      <c r="F23" s="9" t="str">
        <v/>
      </c>
      <c r="G23" s="9" t="str">
        <v/>
      </c>
      <c r="H23" s="9" t="str">
        <v/>
      </c>
      <c r="I23" s="9" t="str">
        <v>Not started</v>
      </c>
      <c r="J23" s="9" t="str">
        <v/>
      </c>
    </row>
    <row r="24">
      <c r="A24" s="9" t="str">
        <v/>
      </c>
      <c r="B24" s="9" t="str">
        <v/>
      </c>
      <c r="C24" s="9" t="str">
        <v/>
      </c>
      <c r="D24" s="9" t="str">
        <v/>
      </c>
      <c r="E24" s="9" t="str">
        <v/>
      </c>
      <c r="F24" s="9" t="str">
        <v/>
      </c>
      <c r="G24" s="9" t="str">
        <v/>
      </c>
      <c r="H24" s="9" t="str">
        <v/>
      </c>
      <c r="I24" s="9" t="str">
        <v>Not started</v>
      </c>
      <c r="J24" s="9" t="str">
        <v/>
      </c>
    </row>
    <row r="25">
      <c r="A25" s="9" t="str">
        <v/>
      </c>
      <c r="B25" s="9" t="str">
        <v/>
      </c>
      <c r="C25" s="9" t="str">
        <v/>
      </c>
      <c r="D25" s="9" t="str">
        <v/>
      </c>
      <c r="E25" s="9" t="str">
        <v/>
      </c>
      <c r="F25" s="9" t="str">
        <v/>
      </c>
      <c r="G25" s="9" t="str">
        <v/>
      </c>
      <c r="H25" s="9" t="str">
        <v/>
      </c>
      <c r="I25" s="9" t="str">
        <v>Not started</v>
      </c>
      <c r="J25" s="9" t="str">
        <v/>
      </c>
    </row>
    <row r="26">
      <c r="A26" s="9" t="str">
        <v/>
      </c>
      <c r="B26" s="9" t="str">
        <v/>
      </c>
      <c r="C26" s="9" t="str">
        <v/>
      </c>
      <c r="D26" s="9" t="str">
        <v/>
      </c>
      <c r="E26" s="9" t="str">
        <v/>
      </c>
      <c r="F26" s="9" t="str">
        <v/>
      </c>
      <c r="G26" s="9" t="str">
        <v/>
      </c>
      <c r="H26" s="9" t="str">
        <v/>
      </c>
      <c r="I26" s="9" t="str">
        <v>Not started</v>
      </c>
      <c r="J26" s="9" t="str">
        <v/>
      </c>
    </row>
    <row r="27">
      <c r="A27" s="9" t="str">
        <v/>
      </c>
      <c r="B27" s="9" t="str">
        <v/>
      </c>
      <c r="C27" s="9" t="str">
        <v/>
      </c>
      <c r="D27" s="9" t="str">
        <v/>
      </c>
      <c r="E27" s="9" t="str">
        <v/>
      </c>
      <c r="F27" s="9" t="str">
        <v/>
      </c>
      <c r="G27" s="9" t="str">
        <v/>
      </c>
      <c r="H27" s="9" t="str">
        <v/>
      </c>
      <c r="I27" s="9" t="str">
        <v>Not started</v>
      </c>
      <c r="J27" s="9" t="str">
        <v/>
      </c>
    </row>
    <row r="28">
      <c r="A28" s="9" t="str">
        <v/>
      </c>
      <c r="B28" s="9" t="str">
        <v/>
      </c>
      <c r="C28" s="9" t="str">
        <v/>
      </c>
      <c r="D28" s="9" t="str">
        <v/>
      </c>
      <c r="E28" s="9" t="str">
        <v/>
      </c>
      <c r="F28" s="9" t="str">
        <v/>
      </c>
      <c r="G28" s="9" t="str">
        <v/>
      </c>
      <c r="H28" s="9" t="str">
        <v/>
      </c>
      <c r="I28" s="9" t="str">
        <v>Not started</v>
      </c>
      <c r="J28" s="9" t="str">
        <v/>
      </c>
    </row>
  </sheetData>
  <autoFilter ref="A4:J28"/>
  <mergeCells count="2">
    <mergeCell ref="A1:J1"/>
    <mergeCell ref="A2:J2"/>
  </mergeCells>
  <ignoredErrors>
    <ignoredError numberStoredAsText="1" sqref="A1:J2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Checklist</vt:lpstr>
      <vt:lpstr>Dashboard</vt:lpstr>
      <vt:lpstr>90-Day Planner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